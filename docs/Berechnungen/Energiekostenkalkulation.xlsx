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iekostenkalk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 &quot;h&quot;"/>
    <numFmt numFmtId="165" formatCode="#,##0.00 &quot;h&quot;"/>
    <numFmt numFmtId="166" formatCode="0.00 &quot;€/kWh&quot;"/>
    <numFmt numFmtId="167" formatCode="#,##0 &quot;W&quot;"/>
    <numFmt numFmtId="168" formatCode="0.00 &quot;kW&quot;"/>
    <numFmt numFmtId="169" formatCode="0.0"/>
    <numFmt numFmtId="170" formatCode="#,##0 &quot;h&quot;"/>
    <numFmt numFmtId="171" formatCode="#,##0.0 &quot;kWh&quot;"/>
    <numFmt numFmtId="172" formatCode="#,##0.00 &quot;€&quot;"/>
    <numFmt numFmtId="173" formatCode="0.0 %"/>
    <numFmt numFmtId="174" formatCode="0.00 &quot;t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1F497D"/>
      <sz val="11"/>
    </font>
    <font>
      <name val="Calibri"/>
      <sz val="10"/>
    </font>
    <font>
      <name val="Calibri"/>
      <b val="1"/>
      <color rgb="00000000"/>
      <sz val="10"/>
    </font>
    <font>
      <name val="Calibri"/>
      <i val="1"/>
      <color rgb="00595959"/>
      <sz val="9.5"/>
    </font>
    <font>
      <name val="Calibri"/>
      <b val="1"/>
      <sz val="10"/>
    </font>
    <font>
      <name val="Calibri"/>
      <b val="1"/>
      <color rgb="001F497D"/>
      <sz val="10"/>
    </font>
    <font>
      <name val="Calibri"/>
      <b val="1"/>
      <color rgb="001F497D"/>
      <sz val="9.5"/>
    </font>
    <font>
      <name val="Calibri"/>
      <b val="1"/>
      <color rgb="001F497D"/>
      <sz val="10.5"/>
    </font>
    <font>
      <name val="Calibri"/>
      <color rgb="00333333"/>
      <sz val="9.5"/>
    </font>
    <font>
      <name val="Calibri"/>
      <color rgb="00262626"/>
      <sz val="9.5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F5597"/>
      </patternFill>
    </fill>
    <fill>
      <patternFill patternType="solid">
        <fgColor rgb="00F2F5F9"/>
      </patternFill>
    </fill>
    <fill>
      <patternFill patternType="solid">
        <fgColor rgb="00FFF8E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/>
    </xf>
    <xf numFmtId="165" fontId="8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168" fontId="0" fillId="0" borderId="1" applyAlignment="1" pivotButton="0" quotePrefix="0" xfId="0">
      <alignment horizontal="right" vertical="center"/>
    </xf>
    <xf numFmtId="169" fontId="0" fillId="0" borderId="1" applyAlignment="1" pivotButton="0" quotePrefix="0" xfId="0">
      <alignment horizontal="right" vertical="center"/>
    </xf>
    <xf numFmtId="170" fontId="0" fillId="0" borderId="1" applyAlignment="1" pivotButton="0" quotePrefix="0" xfId="0">
      <alignment horizontal="right" vertical="center"/>
    </xf>
    <xf numFmtId="171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72" fontId="0" fillId="0" borderId="1" applyAlignment="1" pivotButton="0" quotePrefix="0" xfId="0">
      <alignment horizontal="righ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67" fontId="10" fillId="5" borderId="2" applyAlignment="1" pivotButton="0" quotePrefix="0" xfId="0">
      <alignment horizontal="right" vertical="center"/>
    </xf>
    <xf numFmtId="168" fontId="10" fillId="5" borderId="2" applyAlignment="1" pivotButton="0" quotePrefix="0" xfId="0">
      <alignment horizontal="right" vertical="center"/>
    </xf>
    <xf numFmtId="169" fontId="10" fillId="5" borderId="2" applyAlignment="1" pivotButton="0" quotePrefix="0" xfId="0">
      <alignment horizontal="right" vertical="center"/>
    </xf>
    <xf numFmtId="170" fontId="10" fillId="5" borderId="2" applyAlignment="1" pivotButton="0" quotePrefix="0" xfId="0">
      <alignment horizontal="right" vertical="center"/>
    </xf>
    <xf numFmtId="171" fontId="10" fillId="5" borderId="2" applyAlignment="1" pivotButton="0" quotePrefix="0" xfId="0">
      <alignment horizontal="right" vertical="center"/>
    </xf>
    <xf numFmtId="166" fontId="10" fillId="5" borderId="2" applyAlignment="1" pivotButton="0" quotePrefix="0" xfId="0">
      <alignment horizontal="right" vertical="center"/>
    </xf>
    <xf numFmtId="172" fontId="10" fillId="5" borderId="2" applyAlignment="1" pivotButton="0" quotePrefix="0" xfId="0">
      <alignment horizontal="right" vertical="center"/>
    </xf>
    <xf numFmtId="172" fontId="8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73" fontId="8" fillId="0" borderId="1" applyAlignment="1" pivotButton="0" quotePrefix="0" xfId="0">
      <alignment horizontal="right" vertical="center"/>
    </xf>
    <xf numFmtId="174" fontId="8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8" customWidth="1" min="9" max="9"/>
    <col width="20" customWidth="1" min="10" max="10"/>
    <col width="18" customWidth="1" min="11" max="11"/>
    <col width="20" customWidth="1" min="12" max="12"/>
    <col width="18" customWidth="1" min="13" max="13"/>
  </cols>
  <sheetData>
    <row r="1" ht="14" customHeight="1"/>
    <row r="2" ht="28" customHeight="1">
      <c r="B2" s="1" t="inlineStr">
        <is>
          <t>KUNDENBERECHNUNG: JÄHRLICHE ENERGIEKOSTEN-KALKULATION</t>
        </is>
      </c>
    </row>
    <row r="3" ht="20" customHeight="1">
      <c r="B3" s="2" t="inlineStr">
        <is>
          <t>Auftraggeber: VektorPlan GmbH | Auftragnehmer: NextLevel IT Solutions GmbH | Bearbeiter: Siyar (Berechnungen) | Aufgabe B.2</t>
        </is>
      </c>
    </row>
    <row r="4" ht="12" customHeight="1"/>
    <row r="5" ht="24" customHeight="1">
      <c r="B5" s="3" t="inlineStr">
        <is>
          <t>1. Kalkulations-Parameter &amp; Rahmenbedingungen</t>
        </is>
      </c>
    </row>
    <row r="6" ht="20" customHeight="1">
      <c r="B6" s="4" t="inlineStr">
        <is>
          <t>Kunde / Projekt</t>
        </is>
      </c>
      <c r="C6" s="5" t="inlineStr">
        <is>
          <t>VektorPlan GmbH – Planungs- und Konstruktionsbüro</t>
        </is>
      </c>
      <c r="D6" s="6" t="inlineStr"/>
      <c r="E6" s="7" t="n"/>
      <c r="F6" s="7" t="n"/>
    </row>
    <row r="7" ht="20" customHeight="1">
      <c r="B7" s="4" t="inlineStr">
        <is>
          <t>Arbeitstage pro Jahr</t>
        </is>
      </c>
      <c r="C7" s="8" t="n">
        <v>220</v>
      </c>
      <c r="D7" s="6" t="inlineStr">
        <is>
          <t>Tage/Jahr (gemäß Aufgabenstellung B.2)</t>
        </is>
      </c>
      <c r="E7" s="7" t="n"/>
      <c r="F7" s="7" t="n"/>
    </row>
    <row r="8" ht="20" customHeight="1">
      <c r="B8" s="4" t="inlineStr">
        <is>
          <t>Tägliche Betriebsdauer</t>
        </is>
      </c>
      <c r="C8" s="9" t="n">
        <v>8.5</v>
      </c>
      <c r="D8" s="6" t="inlineStr">
        <is>
          <t>Stunden/Tag (Vollbetrieb während Bürozeit)</t>
        </is>
      </c>
      <c r="E8" s="7" t="n"/>
      <c r="F8" s="7" t="n"/>
    </row>
    <row r="9" ht="20" customHeight="1">
      <c r="B9" s="10" t="inlineStr">
        <is>
          <t>Jährliche Betriebsstunden</t>
        </is>
      </c>
      <c r="C9" s="11">
        <f>C7*C8</f>
        <v/>
      </c>
      <c r="D9" s="6" t="inlineStr">
        <is>
          <t>Stunden/Jahr (= 1.870 h)</t>
        </is>
      </c>
      <c r="E9" s="7" t="n"/>
      <c r="F9" s="7" t="n"/>
    </row>
    <row r="10" ht="20" customHeight="1">
      <c r="B10" s="4" t="inlineStr">
        <is>
          <t>Strompreis (brutto/netto Basis)</t>
        </is>
      </c>
      <c r="C10" s="12" t="n">
        <v>0.32</v>
      </c>
      <c r="D10" s="6" t="inlineStr">
        <is>
          <t>€ / kWh (vertraglicher Gewerbestrompreis)</t>
        </is>
      </c>
      <c r="E10" s="7" t="n"/>
      <c r="F10" s="7" t="n"/>
    </row>
    <row r="11" ht="20" customHeight="1">
      <c r="B11" s="4" t="inlineStr">
        <is>
          <t>Anzahl Standard-Arbeitsplätze</t>
        </is>
      </c>
      <c r="C11" s="8" t="n">
        <v>12</v>
      </c>
      <c r="D11" s="6" t="inlineStr">
        <is>
          <t>Plätze (12 Standard-PCs inkl. je 2x 27'' Monitore)</t>
        </is>
      </c>
      <c r="E11" s="7" t="n"/>
      <c r="F11" s="7" t="n"/>
    </row>
    <row r="12" ht="20" customHeight="1">
      <c r="B12" s="4" t="inlineStr">
        <is>
          <t>Anzahl CAD-Arbeitsplätze</t>
        </is>
      </c>
      <c r="C12" s="8" t="n">
        <v>4</v>
      </c>
      <c r="D12" s="6" t="inlineStr">
        <is>
          <t>Plätze (4 High-End Workstations inkl. je 2x 27'' Monitore)</t>
        </is>
      </c>
      <c r="E12" s="7" t="n"/>
      <c r="F12" s="7" t="n"/>
    </row>
    <row r="13" ht="20" customHeight="1">
      <c r="B13" s="10" t="inlineStr">
        <is>
          <t>Gesamtanzahl Arbeitsplätze</t>
        </is>
      </c>
      <c r="C13" s="13">
        <f>SUM(C11:C12)</f>
        <v/>
      </c>
      <c r="D13" s="6" t="inlineStr">
        <is>
          <t>Plätze gesamt (= 16 Arbeitsplätze)</t>
        </is>
      </c>
      <c r="E13" s="7" t="n"/>
      <c r="F13" s="7" t="n"/>
    </row>
    <row r="15" ht="24" customHeight="1">
      <c r="B15" s="3" t="inlineStr">
        <is>
          <t>2. Detaillierte Verbrauchs- und Kostenberechnung</t>
        </is>
      </c>
    </row>
    <row r="16" ht="26" customHeight="1">
      <c r="B16" s="14" t="inlineStr">
        <is>
          <t>Arbeitsplatztyp</t>
        </is>
      </c>
      <c r="C16" s="14" t="inlineStr">
        <is>
          <t>Anzahl</t>
        </is>
      </c>
      <c r="D16" s="14" t="inlineStr">
        <is>
          <t>Leistung / Einheit</t>
        </is>
      </c>
      <c r="E16" s="14" t="inlineStr">
        <is>
          <t>Gesamtleistung</t>
        </is>
      </c>
      <c r="F16" s="14" t="inlineStr">
        <is>
          <t>Leistung in kW</t>
        </is>
      </c>
      <c r="G16" s="14" t="inlineStr">
        <is>
          <t>Arbeitstage</t>
        </is>
      </c>
      <c r="H16" s="14" t="inlineStr">
        <is>
          <t>Stunden / Tag</t>
        </is>
      </c>
      <c r="I16" s="14" t="inlineStr">
        <is>
          <t>Jahresstunden</t>
        </is>
      </c>
      <c r="J16" s="14" t="inlineStr">
        <is>
          <t>Verbrauch pro Jahr</t>
        </is>
      </c>
      <c r="K16" s="14" t="inlineStr">
        <is>
          <t>Strompreis</t>
        </is>
      </c>
      <c r="L16" s="14" t="inlineStr">
        <is>
          <t>Stromkosten / Jahr</t>
        </is>
      </c>
      <c r="M16" s="14" t="inlineStr">
        <is>
          <t>Stromkosten / Monat</t>
        </is>
      </c>
    </row>
    <row r="17" ht="22" customHeight="1">
      <c r="B17" s="15" t="inlineStr">
        <is>
          <t>Standard-Büroarbeitsplatz (inkl. 2 Monitore)</t>
        </is>
      </c>
      <c r="C17" s="16" t="n">
        <v>12</v>
      </c>
      <c r="D17" s="17" t="n">
        <v>140</v>
      </c>
      <c r="E17" s="17">
        <f>C17*D17</f>
        <v/>
      </c>
      <c r="F17" s="18">
        <f>E17/1000</f>
        <v/>
      </c>
      <c r="G17" s="16">
        <f>C7</f>
        <v/>
      </c>
      <c r="H17" s="19">
        <f>C8</f>
        <v/>
      </c>
      <c r="I17" s="20">
        <f>G17*H17</f>
        <v/>
      </c>
      <c r="J17" s="21">
        <f>F17*I17</f>
        <v/>
      </c>
      <c r="K17" s="22">
        <f>C10</f>
        <v/>
      </c>
      <c r="L17" s="23">
        <f>J17*K17</f>
        <v/>
      </c>
      <c r="M17" s="23">
        <f>L17/12</f>
        <v/>
      </c>
    </row>
    <row r="18" ht="22" customHeight="1">
      <c r="B18" s="15" t="inlineStr">
        <is>
          <t>CAD/BIM-Workstation (inkl. 2 Monitore)</t>
        </is>
      </c>
      <c r="C18" s="16" t="n">
        <v>4</v>
      </c>
      <c r="D18" s="17" t="n">
        <v>320</v>
      </c>
      <c r="E18" s="17">
        <f>C18*D18</f>
        <v/>
      </c>
      <c r="F18" s="18">
        <f>E18/1000</f>
        <v/>
      </c>
      <c r="G18" s="16">
        <f>C7</f>
        <v/>
      </c>
      <c r="H18" s="19">
        <f>C8</f>
        <v/>
      </c>
      <c r="I18" s="20">
        <f>G18*H18</f>
        <v/>
      </c>
      <c r="J18" s="21">
        <f>F18*I18</f>
        <v/>
      </c>
      <c r="K18" s="22">
        <f>C10</f>
        <v/>
      </c>
      <c r="L18" s="23">
        <f>J18*K18</f>
        <v/>
      </c>
      <c r="M18" s="23">
        <f>L18/12</f>
        <v/>
      </c>
    </row>
    <row r="19" ht="24" customHeight="1">
      <c r="B19" s="24" t="inlineStr">
        <is>
          <t>Gesamtergebnis (Alle 16 Arbeitsplätze)</t>
        </is>
      </c>
      <c r="C19" s="25">
        <f>SUM(C17:C18)</f>
        <v/>
      </c>
      <c r="D19" s="26" t="inlineStr">
        <is>
          <t>Ø =E19/C19</t>
        </is>
      </c>
      <c r="E19" s="26">
        <f>SUM(E17:E18)</f>
        <v/>
      </c>
      <c r="F19" s="27">
        <f>SUM(F17:F18)</f>
        <v/>
      </c>
      <c r="G19" s="25">
        <f>C7</f>
        <v/>
      </c>
      <c r="H19" s="28">
        <f>C8</f>
        <v/>
      </c>
      <c r="I19" s="29">
        <f>I17</f>
        <v/>
      </c>
      <c r="J19" s="30">
        <f>SUM(J17:J18)</f>
        <v/>
      </c>
      <c r="K19" s="31">
        <f>C10</f>
        <v/>
      </c>
      <c r="L19" s="32">
        <f>SUM(L17:L18)</f>
        <v/>
      </c>
      <c r="M19" s="32">
        <f>SUM(M17:M18)</f>
        <v/>
      </c>
    </row>
    <row r="21" ht="24" customHeight="1">
      <c r="B21" s="3" t="inlineStr">
        <is>
          <t>3. Wichtige Kennzahlen &amp; Betriebskosten-Analyse</t>
        </is>
      </c>
    </row>
    <row r="22" ht="20" customHeight="1">
      <c r="B22" s="10" t="inlineStr">
        <is>
          <t>Gesamt-Stromkosten pro Jahr</t>
        </is>
      </c>
      <c r="C22" s="33">
        <f>L19</f>
        <v/>
      </c>
      <c r="D22" s="34" t="inlineStr">
        <is>
          <t>€ / Jahr</t>
        </is>
      </c>
      <c r="E22" s="35" t="inlineStr">
        <is>
          <t>Verbindliche Kalkulationsbasis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</row>
    <row r="23" ht="20" customHeight="1">
      <c r="B23" s="10" t="inlineStr">
        <is>
          <t>Monatliche Stromkosten</t>
        </is>
      </c>
      <c r="C23" s="33">
        <f>M19</f>
        <v/>
      </c>
      <c r="D23" s="34" t="inlineStr">
        <is>
          <t>€ / Monat</t>
        </is>
      </c>
      <c r="E23" s="35" t="inlineStr">
        <is>
          <t>Laufende monatliche Belastung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20" customHeight="1">
      <c r="B24" s="4" t="inlineStr">
        <is>
          <t>Tägliche Stromkosten (gesamt)</t>
        </is>
      </c>
      <c r="C24" s="33">
        <f>L19/C7</f>
        <v/>
      </c>
      <c r="D24" s="34" t="inlineStr">
        <is>
          <t>€ / Arbeitstag</t>
        </is>
      </c>
      <c r="E24" s="35" t="inlineStr">
        <is>
          <t>Kosten je regulärem Arbeitstag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20" customHeight="1">
      <c r="B25" s="4" t="inlineStr">
        <is>
          <t>Stromkosten pro Arbeitsplatz / Jahr</t>
        </is>
      </c>
      <c r="C25" s="33">
        <f>L19/C19</f>
        <v/>
      </c>
      <c r="D25" s="34" t="inlineStr">
        <is>
          <t>€ / AP / Jahr</t>
        </is>
      </c>
      <c r="E25" s="35" t="inlineStr">
        <is>
          <t>Durchschnitt aller 16 Plätze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20" customHeight="1">
      <c r="B26" s="4" t="inlineStr">
        <is>
          <t>Anteil Standard-PCs an Energiekosten</t>
        </is>
      </c>
      <c r="C26" s="36">
        <f>L17/L19</f>
        <v/>
      </c>
      <c r="D26" s="34" t="inlineStr">
        <is>
          <t>%</t>
        </is>
      </c>
      <c r="E26" s="35" t="inlineStr">
        <is>
          <t>12 Arbeitsplätze (56,8 % d. Kosten)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</row>
    <row r="27" ht="20" customHeight="1">
      <c r="B27" s="4" t="inlineStr">
        <is>
          <t>Anteil CAD-Workstations an Energiekosten</t>
        </is>
      </c>
      <c r="C27" s="36">
        <f>L18/L19</f>
        <v/>
      </c>
      <c r="D27" s="34" t="inlineStr">
        <is>
          <t>%</t>
        </is>
      </c>
      <c r="E27" s="35" t="inlineStr">
        <is>
          <t>4 Arbeitsplätze (43,2 % d. Kosten)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20" customHeight="1">
      <c r="B28" s="4" t="inlineStr">
        <is>
          <t>CO2-Emissionen pro Jahr (Strommix Dtl.)</t>
        </is>
      </c>
      <c r="C28" s="37">
        <f>J19*0.38/1000</f>
        <v/>
      </c>
      <c r="D28" s="34" t="inlineStr">
        <is>
          <t>t CO2 / Jahr</t>
        </is>
      </c>
      <c r="E28" s="35" t="inlineStr">
        <is>
          <t>Basis: 380 g CO2 pro kWh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</row>
    <row r="29" ht="20" customHeight="1">
      <c r="B29" s="4" t="inlineStr">
        <is>
          <t>Einsparpotenzial durch Standby-Management</t>
        </is>
      </c>
      <c r="C29" s="33">
        <f>L19*0.15</f>
        <v/>
      </c>
      <c r="D29" s="34" t="inlineStr">
        <is>
          <t>€ / Jahr</t>
        </is>
      </c>
      <c r="E29" s="35" t="inlineStr">
        <is>
          <t>Ca. 15 % Ersparnis durch Richtlinien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</row>
    <row r="32" ht="24" customHeight="1">
      <c r="B32" s="3" t="inlineStr">
        <is>
          <t>4. Handlungsempfehlungen &amp; Energieeffizienz-Tipps für VektorPlan GmbH</t>
        </is>
      </c>
    </row>
    <row r="33" ht="20" customHeight="1">
      <c r="B33" s="38" t="inlineStr">
        <is>
          <t>1. Automatische Energiesparprofile (GPO): Windows-Richtlinie aktiviert Display-Standby nach 10 Minuten und Ruhezustand nach 20 Minuten Inaktivität.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20" customHeight="1">
      <c r="B34" s="38" t="inlineStr">
        <is>
          <t>2. Schaltbare Master-Slave-Steckdosenleisten: Vollständige Trennung von Rechnern und Monitoren vom Stromnetz nach Feierabend verhindert Standby-Verluste.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 ht="20" customHeight="1">
      <c r="B35" s="38" t="inlineStr">
        <is>
          <t>3. Ergonomische Monitore mit Eco-Sensoren: Die Dell UltraSharp U2724D verfügen über Helligkeitssensoren, die den Stromverbrauch je nach Raumlicht um bis zu 25 % senken.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20" customHeight="1">
      <c r="B36" s="38" t="inlineStr">
        <is>
          <t>4. CAD-Workstation Power-Management: Intelligente Lastanpassung der NVIDIA RTX 4000 Ada taktet die GPU bei reiner Büroarbeit automatisch in energiesparenden 2D-Modus herunter.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</sheetData>
  <mergeCells count="26">
    <mergeCell ref="B2:M2"/>
    <mergeCell ref="E29:M29"/>
    <mergeCell ref="D11:F11"/>
    <mergeCell ref="D13:F13"/>
    <mergeCell ref="E28:M28"/>
    <mergeCell ref="D7:F7"/>
    <mergeCell ref="B34:M34"/>
    <mergeCell ref="E27:M27"/>
    <mergeCell ref="D12:F12"/>
    <mergeCell ref="D9:F9"/>
    <mergeCell ref="E26:M26"/>
    <mergeCell ref="D8:F8"/>
    <mergeCell ref="B15:M15"/>
    <mergeCell ref="E25:M25"/>
    <mergeCell ref="B33:M33"/>
    <mergeCell ref="E22:M22"/>
    <mergeCell ref="B36:M36"/>
    <mergeCell ref="B32:M32"/>
    <mergeCell ref="B35:M35"/>
    <mergeCell ref="D10:F10"/>
    <mergeCell ref="E24:M24"/>
    <mergeCell ref="B3:M3"/>
    <mergeCell ref="E23:M23"/>
    <mergeCell ref="D6:F6"/>
    <mergeCell ref="B5:F5"/>
    <mergeCell ref="B21:M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2026-09-07T08:51:58Z</dcterms:created>
  <dcterms:modified xmlns:dcterms="http://purl.org/dc/terms/" xmlns:xsi="http://www.w3.org/2001/XMLSchema-instance" xsi:type="dcterms:W3CDTF">2026-09-07T08:51:58Z</dcterms:modified>
</cp:coreProperties>
</file>