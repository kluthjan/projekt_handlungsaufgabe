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icherplatzbedarf" sheetId="1" state="visible" r:id="rId1"/>
    <sheet xmlns:r="http://schemas.openxmlformats.org/officeDocument/2006/relationships" name="Energiekosten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1">
    <numFmt numFmtId="164" formatCode="0.0 %"/>
    <numFmt numFmtId="165" formatCode="0.0 &quot;h&quot;"/>
    <numFmt numFmtId="166" formatCode="#,##0.00 &quot;h&quot;"/>
    <numFmt numFmtId="167" formatCode="0.00 &quot;€/kWh&quot;"/>
    <numFmt numFmtId="168" formatCode="#,##0 &quot;W&quot;"/>
    <numFmt numFmtId="169" formatCode="0.00 &quot;kW&quot;"/>
    <numFmt numFmtId="170" formatCode="0.0"/>
    <numFmt numFmtId="171" formatCode="#,##0 &quot;h&quot;"/>
    <numFmt numFmtId="172" formatCode="#,##0.0 &quot;kWh&quot;"/>
    <numFmt numFmtId="173" formatCode="#,##0.00 &quot;€&quot;"/>
    <numFmt numFmtId="174" formatCode="0.00 &quot;t&quot;"/>
  </numFmts>
  <fonts count="16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FFFFFF"/>
      <sz val="10"/>
    </font>
    <font>
      <name val="Calibri"/>
      <b val="1"/>
      <color rgb="001F497D"/>
      <sz val="11"/>
    </font>
    <font>
      <name val="Calibri"/>
      <sz val="10"/>
    </font>
    <font>
      <name val="Calibri"/>
      <b val="1"/>
      <sz val="10"/>
    </font>
    <font>
      <name val="Calibri"/>
      <i val="1"/>
      <color rgb="00595959"/>
      <sz val="9.5"/>
    </font>
    <font>
      <name val="Calibri"/>
      <color rgb="00333333"/>
      <sz val="9.5"/>
    </font>
    <font>
      <name val="Calibri"/>
      <color rgb="00000000"/>
      <sz val="10"/>
    </font>
    <font>
      <name val="Calibri"/>
      <b val="1"/>
      <color rgb="00000000"/>
      <sz val="10.5"/>
    </font>
    <font>
      <name val="Calibri"/>
      <b val="1"/>
      <color rgb="001F497D"/>
      <sz val="10"/>
    </font>
    <font>
      <name val="Calibri"/>
      <b val="1"/>
      <color rgb="001F497D"/>
      <sz val="10.5"/>
    </font>
    <font>
      <name val="Calibri"/>
      <b val="1"/>
      <color rgb="001F497D"/>
      <sz val="9.5"/>
    </font>
    <font>
      <name val="Calibri"/>
      <b val="1"/>
      <color rgb="00FFFFFF"/>
      <sz val="15"/>
    </font>
    <font>
      <name val="Calibri"/>
      <b val="1"/>
      <color rgb="00000000"/>
      <sz val="10"/>
    </font>
    <font>
      <name val="Calibri"/>
      <color rgb="00262626"/>
      <sz val="9.5"/>
    </font>
  </fonts>
  <fills count="6">
    <fill>
      <patternFill/>
    </fill>
    <fill>
      <patternFill patternType="gray125"/>
    </fill>
    <fill>
      <patternFill patternType="solid">
        <fgColor rgb="001F497D"/>
      </patternFill>
    </fill>
    <fill>
      <patternFill patternType="solid">
        <fgColor rgb="002F5597"/>
      </patternFill>
    </fill>
    <fill>
      <patternFill patternType="solid">
        <fgColor rgb="00FFF8E7"/>
      </patternFill>
    </fill>
    <fill>
      <patternFill patternType="solid">
        <fgColor rgb="00F2F5F9"/>
      </patternFill>
    </fill>
  </fills>
  <borders count="7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double">
        <color rgb="001F497D"/>
      </bottom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0" borderId="0" applyAlignment="1" pivotButton="0" quotePrefix="0" xfId="0">
      <alignment vertical="center"/>
    </xf>
    <xf numFmtId="0" fontId="4" fillId="0" borderId="1" applyAlignment="1" pivotButton="0" quotePrefix="0" xfId="0">
      <alignment vertical="center"/>
    </xf>
    <xf numFmtId="3" fontId="5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164" fontId="5" fillId="0" borderId="1" applyAlignment="1" pivotButton="0" quotePrefix="0" xfId="0">
      <alignment horizontal="right" vertical="center"/>
    </xf>
    <xf numFmtId="0" fontId="8" fillId="0" borderId="1" applyAlignment="1" pivotButton="0" quotePrefix="0" xfId="0">
      <alignment vertical="center"/>
    </xf>
    <xf numFmtId="3" fontId="9" fillId="0" borderId="1" applyAlignment="1" pivotButton="0" quotePrefix="0" xfId="0">
      <alignment horizontal="right" vertical="center"/>
    </xf>
    <xf numFmtId="4" fontId="9" fillId="0" borderId="1" applyAlignment="1" pivotButton="0" quotePrefix="0" xfId="0">
      <alignment horizontal="right" vertical="center"/>
    </xf>
    <xf numFmtId="0" fontId="10" fillId="4" borderId="2" applyAlignment="1" pivotButton="0" quotePrefix="0" xfId="0">
      <alignment vertical="center"/>
    </xf>
    <xf numFmtId="3" fontId="11" fillId="4" borderId="2" applyAlignment="1" pivotButton="0" quotePrefix="0" xfId="0">
      <alignment horizontal="right" vertical="center"/>
    </xf>
    <xf numFmtId="0" fontId="12" fillId="4" borderId="2" applyAlignment="1" pivotButton="0" quotePrefix="0" xfId="0">
      <alignment horizontal="center" vertical="center"/>
    </xf>
    <xf numFmtId="0" fontId="12" fillId="4" borderId="2" applyAlignment="1" pivotButton="0" quotePrefix="0" xfId="0">
      <alignment vertical="center"/>
    </xf>
    <xf numFmtId="0" fontId="5" fillId="0" borderId="1" applyAlignment="1" pivotButton="0" quotePrefix="0" xfId="0">
      <alignment horizontal="right" vertical="center"/>
    </xf>
    <xf numFmtId="0" fontId="13" fillId="2" borderId="0" applyAlignment="1" pivotButton="0" quotePrefix="0" xfId="0">
      <alignment horizontal="center" vertical="center"/>
    </xf>
    <xf numFmtId="0" fontId="1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vertical="center"/>
    </xf>
    <xf numFmtId="0" fontId="0" fillId="0" borderId="3" pivotButton="0" quotePrefix="0" xfId="0"/>
    <xf numFmtId="0" fontId="0" fillId="0" borderId="4" pivotButton="0" quotePrefix="0" xfId="0"/>
    <xf numFmtId="3" fontId="14" fillId="0" borderId="1" applyAlignment="1" pivotButton="0" quotePrefix="0" xfId="0">
      <alignment horizontal="right" vertical="center"/>
    </xf>
    <xf numFmtId="165" fontId="14" fillId="0" borderId="1" applyAlignment="1" pivotButton="0" quotePrefix="0" xfId="0">
      <alignment horizontal="right" vertical="center"/>
    </xf>
    <xf numFmtId="0" fontId="5" fillId="0" borderId="1" applyAlignment="1" pivotButton="0" quotePrefix="0" xfId="0">
      <alignment vertical="center"/>
    </xf>
    <xf numFmtId="166" fontId="10" fillId="0" borderId="1" applyAlignment="1" pivotButton="0" quotePrefix="0" xfId="0">
      <alignment horizontal="right" vertical="center"/>
    </xf>
    <xf numFmtId="167" fontId="14" fillId="0" borderId="1" applyAlignment="1" pivotButton="0" quotePrefix="0" xfId="0">
      <alignment horizontal="right" vertical="center"/>
    </xf>
    <xf numFmtId="3" fontId="10" fillId="0" borderId="1" applyAlignment="1" pivotButton="0" quotePrefix="0" xfId="0">
      <alignment horizontal="right" vertical="center"/>
    </xf>
    <xf numFmtId="0" fontId="12" fillId="5" borderId="1" applyAlignment="1" pivotButton="0" quotePrefix="0" xfId="0">
      <alignment horizontal="center" vertical="center" wrapText="1"/>
    </xf>
    <xf numFmtId="0" fontId="4" fillId="0" borderId="1" pivotButton="0" quotePrefix="0" xfId="0"/>
    <xf numFmtId="3" fontId="0" fillId="0" borderId="1" applyAlignment="1" pivotButton="0" quotePrefix="0" xfId="0">
      <alignment horizontal="right" vertical="center"/>
    </xf>
    <xf numFmtId="168" fontId="0" fillId="0" borderId="1" applyAlignment="1" pivotButton="0" quotePrefix="0" xfId="0">
      <alignment horizontal="right" vertical="center"/>
    </xf>
    <xf numFmtId="169" fontId="0" fillId="0" borderId="1" applyAlignment="1" pivotButton="0" quotePrefix="0" xfId="0">
      <alignment horizontal="right" vertical="center"/>
    </xf>
    <xf numFmtId="170" fontId="0" fillId="0" borderId="1" applyAlignment="1" pivotButton="0" quotePrefix="0" xfId="0">
      <alignment horizontal="right" vertical="center"/>
    </xf>
    <xf numFmtId="171" fontId="0" fillId="0" borderId="1" applyAlignment="1" pivotButton="0" quotePrefix="0" xfId="0">
      <alignment horizontal="right" vertical="center"/>
    </xf>
    <xf numFmtId="172" fontId="0" fillId="0" borderId="1" applyAlignment="1" pivotButton="0" quotePrefix="0" xfId="0">
      <alignment horizontal="right" vertical="center"/>
    </xf>
    <xf numFmtId="167" fontId="0" fillId="0" borderId="1" applyAlignment="1" pivotButton="0" quotePrefix="0" xfId="0">
      <alignment horizontal="right" vertical="center"/>
    </xf>
    <xf numFmtId="173" fontId="0" fillId="0" borderId="1" applyAlignment="1" pivotButton="0" quotePrefix="0" xfId="0">
      <alignment horizontal="right" vertical="center"/>
    </xf>
    <xf numFmtId="0" fontId="11" fillId="4" borderId="2" pivotButton="0" quotePrefix="0" xfId="0"/>
    <xf numFmtId="168" fontId="11" fillId="4" borderId="2" applyAlignment="1" pivotButton="0" quotePrefix="0" xfId="0">
      <alignment horizontal="right" vertical="center"/>
    </xf>
    <xf numFmtId="169" fontId="11" fillId="4" borderId="2" applyAlignment="1" pivotButton="0" quotePrefix="0" xfId="0">
      <alignment horizontal="right" vertical="center"/>
    </xf>
    <xf numFmtId="170" fontId="11" fillId="4" borderId="2" applyAlignment="1" pivotButton="0" quotePrefix="0" xfId="0">
      <alignment horizontal="right" vertical="center"/>
    </xf>
    <xf numFmtId="171" fontId="11" fillId="4" borderId="2" applyAlignment="1" pivotButton="0" quotePrefix="0" xfId="0">
      <alignment horizontal="right" vertical="center"/>
    </xf>
    <xf numFmtId="172" fontId="11" fillId="4" borderId="2" applyAlignment="1" pivotButton="0" quotePrefix="0" xfId="0">
      <alignment horizontal="right" vertical="center"/>
    </xf>
    <xf numFmtId="167" fontId="11" fillId="4" borderId="2" applyAlignment="1" pivotButton="0" quotePrefix="0" xfId="0">
      <alignment horizontal="right" vertical="center"/>
    </xf>
    <xf numFmtId="173" fontId="11" fillId="4" borderId="2" applyAlignment="1" pivotButton="0" quotePrefix="0" xfId="0">
      <alignment horizontal="right" vertical="center"/>
    </xf>
    <xf numFmtId="173" fontId="10" fillId="0" borderId="1" applyAlignment="1" pivotButton="0" quotePrefix="0" xfId="0">
      <alignment horizontal="right" vertical="center"/>
    </xf>
    <xf numFmtId="164" fontId="10" fillId="0" borderId="1" applyAlignment="1" pivotButton="0" quotePrefix="0" xfId="0">
      <alignment horizontal="right" vertical="center"/>
    </xf>
    <xf numFmtId="174" fontId="10" fillId="0" borderId="1" applyAlignment="1" pivotButton="0" quotePrefix="0" xfId="0">
      <alignment horizontal="right" vertical="center"/>
    </xf>
    <xf numFmtId="0" fontId="15" fillId="0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32" customWidth="1" min="2" max="2"/>
    <col width="18" customWidth="1" min="3" max="3"/>
    <col width="14" customWidth="1" min="4" max="4"/>
    <col width="48" customWidth="1" min="5" max="5"/>
  </cols>
  <sheetData>
    <row r="1" ht="14" customHeight="1"/>
    <row r="2" ht="28" customHeight="1">
      <c r="B2" s="1" t="inlineStr">
        <is>
          <t>KUNDENBERECHNUNG: SPEICHERPLATZBEDARF CENTRAL FILESERVER</t>
        </is>
      </c>
    </row>
    <row r="3" ht="20" customHeight="1">
      <c r="B3" s="2" t="inlineStr">
        <is>
          <t>Auftraggeber: VektorPlan GmbH | Auftragnehmer: NextLevel IT Solutions GmbH | Bearbeiter: Siyar (Berechnungen) | Aufgabe B.1</t>
        </is>
      </c>
    </row>
    <row r="4" ht="12" customHeight="1"/>
    <row r="5" ht="24" customHeight="1">
      <c r="B5" s="3" t="inlineStr">
        <is>
          <t>1. Ausgangsparameter gemäß Kundenanforderung</t>
        </is>
      </c>
    </row>
    <row r="6" ht="20" customHeight="1">
      <c r="B6" s="4" t="inlineStr">
        <is>
          <t>Anzahl ausgestatteter Arbeitsplätze</t>
        </is>
      </c>
      <c r="C6" s="5" t="n">
        <v>16</v>
      </c>
      <c r="D6" s="6" t="inlineStr">
        <is>
          <t>Plätze</t>
        </is>
      </c>
      <c r="E6" s="7" t="inlineStr">
        <is>
          <t>12 Standard-PCs + 4 CAD-Workstations</t>
        </is>
      </c>
    </row>
    <row r="7" ht="20" customHeight="1">
      <c r="B7" s="4" t="inlineStr">
        <is>
          <t>Durchschnittliches Datenaufkommen / Tag / AP</t>
        </is>
      </c>
      <c r="C7" s="5" t="n">
        <v>350</v>
      </c>
      <c r="D7" s="6" t="inlineStr">
        <is>
          <t>MiB / Tag</t>
        </is>
      </c>
      <c r="E7" s="7" t="inlineStr">
        <is>
          <t>Neue Projekt- und CAD-Plandaten pro Tag</t>
        </is>
      </c>
    </row>
    <row r="8" ht="20" customHeight="1">
      <c r="B8" s="4" t="inlineStr">
        <is>
          <t>Arbeitstage im Quartal (Q1)</t>
        </is>
      </c>
      <c r="C8" s="5" t="n">
        <v>65</v>
      </c>
      <c r="D8" s="6" t="inlineStr">
        <is>
          <t>Arbeitstage</t>
        </is>
      </c>
      <c r="E8" s="7" t="inlineStr">
        <is>
          <t>Planungszeitraum gemäß Aufgabenstellung B.1</t>
        </is>
      </c>
    </row>
    <row r="9" ht="20" customHeight="1">
      <c r="B9" s="4" t="inlineStr">
        <is>
          <t>Binär-Umrechnungsfaktor (IEC 80000-13)</t>
        </is>
      </c>
      <c r="C9" s="5" t="n">
        <v>1024</v>
      </c>
      <c r="D9" s="6" t="inlineStr">
        <is>
          <t>MiB / GiB</t>
        </is>
      </c>
      <c r="E9" s="7" t="inlineStr">
        <is>
          <t>Exakte binäre Speichereinheit (2^10 = 1.024)</t>
        </is>
      </c>
    </row>
    <row r="10" ht="20" customHeight="1">
      <c r="B10" s="4" t="inlineStr">
        <is>
          <t>Sicherheits- und Pufferzuschlag</t>
        </is>
      </c>
      <c r="C10" s="8" t="n">
        <v>0.25</v>
      </c>
      <c r="D10" s="6" t="inlineStr">
        <is>
          <t>%</t>
        </is>
      </c>
      <c r="E10" s="7" t="inlineStr">
        <is>
          <t>25 % Puffer für Revisionsstände, Backups &amp; Caches</t>
        </is>
      </c>
    </row>
    <row r="11"/>
    <row r="12" ht="24" customHeight="1">
      <c r="B12" s="3" t="inlineStr">
        <is>
          <t>2. Schritt-für-Schritt-Kalkulation (IHK-Prüfungsschema)</t>
        </is>
      </c>
    </row>
    <row r="13" ht="22" customHeight="1">
      <c r="B13" s="9" t="inlineStr">
        <is>
          <t>Schritt 1: Tägliches Datenaufkommen gesamt</t>
        </is>
      </c>
      <c r="C13" s="10">
        <f>C6*C7</f>
        <v/>
      </c>
      <c r="D13" s="6" t="inlineStr">
        <is>
          <t>MiB / Tag</t>
        </is>
      </c>
      <c r="E13" s="7" t="inlineStr">
        <is>
          <t>16 Plätze × 350 MiB/Tag = 5.600 MiB täglich</t>
        </is>
      </c>
    </row>
    <row r="14" ht="22" customHeight="1">
      <c r="B14" s="9" t="inlineStr">
        <is>
          <t>Schritt 2: Quartalsdaten unkomprimiert (65 AT)</t>
        </is>
      </c>
      <c r="C14" s="10">
        <f>C13*C8</f>
        <v/>
      </c>
      <c r="D14" s="6" t="inlineStr">
        <is>
          <t>MiB / Quartal</t>
        </is>
      </c>
      <c r="E14" s="7" t="inlineStr">
        <is>
          <t>5.600 MiB/Tag × 65 Tage = 364.000 MiB pro Quartal</t>
        </is>
      </c>
    </row>
    <row r="15" ht="22" customHeight="1">
      <c r="B15" s="9" t="inlineStr">
        <is>
          <t>Schritt 3: Umrechnung in GiB (exakt binär)</t>
        </is>
      </c>
      <c r="C15" s="11">
        <f>C14/C9</f>
        <v/>
      </c>
      <c r="D15" s="6" t="inlineStr">
        <is>
          <t>GiB</t>
        </is>
      </c>
      <c r="E15" s="7" t="inlineStr">
        <is>
          <t>364.000 MiB ÷ 1.024 = 355,46875 GiB</t>
        </is>
      </c>
    </row>
    <row r="16" ht="22" customHeight="1">
      <c r="B16" s="9" t="inlineStr">
        <is>
          <t>Schritt 4: Aufrunden auf volle GiB (Netto)</t>
        </is>
      </c>
      <c r="C16" s="10">
        <f>ROUNDUP(C15,0)</f>
        <v/>
      </c>
      <c r="D16" s="6" t="inlineStr">
        <is>
          <t>GiB</t>
        </is>
      </c>
      <c r="E16" s="7" t="inlineStr">
        <is>
          <t>Kaufmännisch &amp; technisch aufgerundet: 356 GiB</t>
        </is>
      </c>
    </row>
    <row r="17" ht="22" customHeight="1">
      <c r="B17" s="9" t="inlineStr">
        <is>
          <t>Schritt 5: Sicherheits- und Pufferzuschlag (25 %)</t>
        </is>
      </c>
      <c r="C17" s="10">
        <f>C16*C10</f>
        <v/>
      </c>
      <c r="D17" s="6" t="inlineStr">
        <is>
          <t>GiB</t>
        </is>
      </c>
      <c r="E17" s="7" t="inlineStr">
        <is>
          <t>356 GiB × 0,25 = 89 GiB Pufferkapazität</t>
        </is>
      </c>
    </row>
    <row r="18" ht="22" customHeight="1">
      <c r="B18" s="12" t="inlineStr">
        <is>
          <t>Schritt 6: Gesamter Brutto-Speicherplatzbedarf</t>
        </is>
      </c>
      <c r="C18" s="13">
        <f>C16+C17</f>
        <v/>
      </c>
      <c r="D18" s="14" t="inlineStr">
        <is>
          <t>GiB</t>
        </is>
      </c>
      <c r="E18" s="15" t="inlineStr">
        <is>
          <t>356 GiB Netto + 89 GiB Puffer = 445 GiB Gesamtkapazität</t>
        </is>
      </c>
    </row>
    <row r="19"/>
    <row r="20" ht="24" customHeight="1">
      <c r="B20" s="3" t="inlineStr">
        <is>
          <t>3. Langzeit-Projektion &amp; Dimensionierungsempfehlung Fileserver</t>
        </is>
      </c>
    </row>
    <row r="21" ht="20" customHeight="1">
      <c r="B21" s="4" t="inlineStr">
        <is>
          <t>Jahresbedarf Netto (4 Quartale)</t>
        </is>
      </c>
      <c r="C21" s="5">
        <f>C16*4</f>
        <v/>
      </c>
      <c r="D21" s="6" t="inlineStr">
        <is>
          <t>GiB / Jahr</t>
        </is>
      </c>
      <c r="E21" s="7" t="inlineStr">
        <is>
          <t>1.424 GiB (ca. 1,39 TiB reine Projektdaten pro Jahr)</t>
        </is>
      </c>
    </row>
    <row r="22" ht="20" customHeight="1">
      <c r="B22" s="4" t="inlineStr">
        <is>
          <t>Jahresbedarf Brutto inkl. 25 % Puffer</t>
        </is>
      </c>
      <c r="C22" s="5">
        <f>C18*4</f>
        <v/>
      </c>
      <c r="D22" s="6" t="inlineStr">
        <is>
          <t>GiB / Jahr</t>
        </is>
      </c>
      <c r="E22" s="7" t="inlineStr">
        <is>
          <t>1.780 GiB (ca. 1,74 TiB Jahresgesamtkapazität)</t>
        </is>
      </c>
    </row>
    <row r="23" ht="20" customHeight="1">
      <c r="B23" s="4" t="inlineStr">
        <is>
          <t>Empfohlene Netto-Storage-Kapazität (3 Jahre)</t>
        </is>
      </c>
      <c r="C23" s="16" t="inlineStr">
        <is>
          <t>6.000</t>
        </is>
      </c>
      <c r="D23" s="6" t="inlineStr">
        <is>
          <t>GiB (ca. 6 TB)</t>
        </is>
      </c>
      <c r="E23" s="7" t="inlineStr">
        <is>
          <t>Ausreichend für 3 Jahre Wachstum + CAD-Versionierung</t>
        </is>
      </c>
    </row>
    <row r="24" ht="20" customHeight="1">
      <c r="B24" s="4" t="inlineStr">
        <is>
          <t>Empfohlene RAID-Konfiguration</t>
        </is>
      </c>
      <c r="C24" s="16" t="inlineStr">
        <is>
          <t>RAID 10</t>
        </is>
      </c>
      <c r="D24" s="6" t="inlineStr">
        <is>
          <t>4x 4 TB Enterprise SAS/SATA</t>
        </is>
      </c>
      <c r="E24" s="7" t="inlineStr">
        <is>
          <t>Maximale I/O-Performance und hohe Ausfallsicherheit</t>
        </is>
      </c>
    </row>
    <row r="25" ht="20" customHeight="1">
      <c r="B25" s="4" t="inlineStr">
        <is>
          <t>Backup-Strategie (3-2-1 Regel)</t>
        </is>
      </c>
      <c r="C25" s="16" t="inlineStr">
        <is>
          <t>Tägliches Snapshot + Cloud</t>
        </is>
      </c>
      <c r="D25" s="6" t="inlineStr">
        <is>
          <t>Veeam / Azure</t>
        </is>
      </c>
      <c r="E25" s="7" t="inlineStr">
        <is>
          <t>Tägliche Sicherung der 16 externen Samsung T7 SSDs</t>
        </is>
      </c>
    </row>
  </sheetData>
  <mergeCells count="5">
    <mergeCell ref="B20:E20"/>
    <mergeCell ref="B12:E12"/>
    <mergeCell ref="B3:E3"/>
    <mergeCell ref="B2:E2"/>
    <mergeCell ref="B5:E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6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8" customWidth="1" min="2" max="2"/>
    <col width="12" customWidth="1" min="3" max="3"/>
    <col width="18" customWidth="1" min="4" max="4"/>
    <col width="18" customWidth="1" min="5" max="5"/>
    <col width="16" customWidth="1" min="6" max="6"/>
    <col width="16" customWidth="1" min="7" max="7"/>
    <col width="16" customWidth="1" min="8" max="8"/>
    <col width="18" customWidth="1" min="9" max="9"/>
    <col width="20" customWidth="1" min="10" max="10"/>
    <col width="18" customWidth="1" min="11" max="11"/>
    <col width="20" customWidth="1" min="12" max="12"/>
    <col width="18" customWidth="1" min="13" max="13"/>
  </cols>
  <sheetData>
    <row r="1" ht="14" customHeight="1"/>
    <row r="2" ht="28" customHeight="1">
      <c r="B2" s="17" t="inlineStr">
        <is>
          <t>KUNDENBERECHNUNG: JÄHRLICHE ENERGIEKOSTEN-KALKULATION</t>
        </is>
      </c>
    </row>
    <row r="3" ht="20" customHeight="1">
      <c r="B3" s="2" t="inlineStr">
        <is>
          <t>Auftraggeber: VektorPlan GmbH | Auftragnehmer: NextLevel IT Solutions GmbH | Bearbeiter: Siyar (Berechnungen) | Aufgabe B.2</t>
        </is>
      </c>
    </row>
    <row r="4" ht="12" customHeight="1"/>
    <row r="5" ht="24" customHeight="1">
      <c r="B5" s="3" t="inlineStr">
        <is>
          <t>1. Kalkulations-Parameter &amp; Rahmenbedingungen</t>
        </is>
      </c>
    </row>
    <row r="6" ht="20" customHeight="1">
      <c r="B6" s="4" t="inlineStr">
        <is>
          <t>Kunde / Projekt</t>
        </is>
      </c>
      <c r="C6" s="18" t="inlineStr">
        <is>
          <t>VektorPlan GmbH – Planungs- und Konstruktionsbüro</t>
        </is>
      </c>
      <c r="D6" s="19" t="n"/>
      <c r="E6" s="20" t="n"/>
      <c r="F6" s="21" t="n"/>
    </row>
    <row r="7" ht="20" customHeight="1">
      <c r="B7" s="4" t="inlineStr">
        <is>
          <t>Arbeitstage pro Jahr</t>
        </is>
      </c>
      <c r="C7" s="22" t="n">
        <v>220</v>
      </c>
      <c r="D7" s="19" t="inlineStr">
        <is>
          <t>Tage/Jahr (gemäß Aufgabenstellung B.2)</t>
        </is>
      </c>
      <c r="E7" s="20" t="n"/>
      <c r="F7" s="21" t="n"/>
    </row>
    <row r="8" ht="20" customHeight="1">
      <c r="B8" s="4" t="inlineStr">
        <is>
          <t>Tägliche Betriebsdauer</t>
        </is>
      </c>
      <c r="C8" s="23" t="n">
        <v>8.5</v>
      </c>
      <c r="D8" s="19" t="inlineStr">
        <is>
          <t>Stunden/Tag (Vollbetrieb während Bürozeit)</t>
        </is>
      </c>
      <c r="E8" s="20" t="n"/>
      <c r="F8" s="21" t="n"/>
    </row>
    <row r="9" ht="20" customHeight="1">
      <c r="B9" s="24" t="inlineStr">
        <is>
          <t>Jährliche Betriebsstunden</t>
        </is>
      </c>
      <c r="C9" s="25">
        <f>C7*C8</f>
        <v/>
      </c>
      <c r="D9" s="19" t="inlineStr">
        <is>
          <t>Stunden/Jahr (= 1.870 h)</t>
        </is>
      </c>
      <c r="E9" s="20" t="n"/>
      <c r="F9" s="21" t="n"/>
    </row>
    <row r="10" ht="20" customHeight="1">
      <c r="B10" s="4" t="inlineStr">
        <is>
          <t>Strompreis (brutto/netto Basis)</t>
        </is>
      </c>
      <c r="C10" s="26" t="n">
        <v>0.32</v>
      </c>
      <c r="D10" s="19" t="inlineStr">
        <is>
          <t>€ / kWh (vertraglicher Gewerbestrompreis)</t>
        </is>
      </c>
      <c r="E10" s="20" t="n"/>
      <c r="F10" s="21" t="n"/>
    </row>
    <row r="11" ht="20" customHeight="1">
      <c r="B11" s="4" t="inlineStr">
        <is>
          <t>Anzahl Standard-Arbeitsplätze</t>
        </is>
      </c>
      <c r="C11" s="22" t="n">
        <v>12</v>
      </c>
      <c r="D11" s="19" t="inlineStr">
        <is>
          <t>Plätze (12 Standard-PCs inkl. je 2x 27'' Monitore)</t>
        </is>
      </c>
      <c r="E11" s="20" t="n"/>
      <c r="F11" s="21" t="n"/>
    </row>
    <row r="12" ht="20" customHeight="1">
      <c r="B12" s="4" t="inlineStr">
        <is>
          <t>Anzahl CAD-Arbeitsplätze</t>
        </is>
      </c>
      <c r="C12" s="22" t="n">
        <v>4</v>
      </c>
      <c r="D12" s="19" t="inlineStr">
        <is>
          <t>Plätze (4 High-End Workstations inkl. je 2x 27'' Monitore)</t>
        </is>
      </c>
      <c r="E12" s="20" t="n"/>
      <c r="F12" s="21" t="n"/>
    </row>
    <row r="13" ht="20" customHeight="1">
      <c r="B13" s="24" t="inlineStr">
        <is>
          <t>Gesamtanzahl Arbeitsplätze</t>
        </is>
      </c>
      <c r="C13" s="27">
        <f>SUM(C11:C12)</f>
        <v/>
      </c>
      <c r="D13" s="19" t="inlineStr">
        <is>
          <t>Plätze gesamt (= 16 Arbeitsplätze)</t>
        </is>
      </c>
      <c r="E13" s="20" t="n"/>
      <c r="F13" s="21" t="n"/>
    </row>
    <row r="14"/>
    <row r="15" ht="24" customHeight="1">
      <c r="B15" s="3" t="inlineStr">
        <is>
          <t>2. Detaillierte Verbrauchs- und Kostenberechnung</t>
        </is>
      </c>
    </row>
    <row r="16" ht="26" customHeight="1">
      <c r="B16" s="28" t="inlineStr">
        <is>
          <t>Arbeitsplatztyp</t>
        </is>
      </c>
      <c r="C16" s="28" t="inlineStr">
        <is>
          <t>Anzahl</t>
        </is>
      </c>
      <c r="D16" s="28" t="inlineStr">
        <is>
          <t>Leistung / Einheit</t>
        </is>
      </c>
      <c r="E16" s="28" t="inlineStr">
        <is>
          <t>Gesamtleistung</t>
        </is>
      </c>
      <c r="F16" s="28" t="inlineStr">
        <is>
          <t>Leistung in kW</t>
        </is>
      </c>
      <c r="G16" s="28" t="inlineStr">
        <is>
          <t>Arbeitstage</t>
        </is>
      </c>
      <c r="H16" s="28" t="inlineStr">
        <is>
          <t>Stunden / Tag</t>
        </is>
      </c>
      <c r="I16" s="28" t="inlineStr">
        <is>
          <t>Jahresstunden</t>
        </is>
      </c>
      <c r="J16" s="28" t="inlineStr">
        <is>
          <t>Verbrauch pro Jahr</t>
        </is>
      </c>
      <c r="K16" s="28" t="inlineStr">
        <is>
          <t>Strompreis</t>
        </is>
      </c>
      <c r="L16" s="28" t="inlineStr">
        <is>
          <t>Stromkosten / Jahr</t>
        </is>
      </c>
      <c r="M16" s="28" t="inlineStr">
        <is>
          <t>Stromkosten / Monat</t>
        </is>
      </c>
    </row>
    <row r="17" ht="22" customHeight="1">
      <c r="B17" s="29" t="inlineStr">
        <is>
          <t>Standard-Büroarbeitsplatz (inkl. 2 Monitore)</t>
        </is>
      </c>
      <c r="C17" s="30" t="n">
        <v>12</v>
      </c>
      <c r="D17" s="31" t="n">
        <v>140</v>
      </c>
      <c r="E17" s="31">
        <f>C17*D17</f>
        <v/>
      </c>
      <c r="F17" s="32">
        <f>E17/1000</f>
        <v/>
      </c>
      <c r="G17" s="30">
        <f>C7</f>
        <v/>
      </c>
      <c r="H17" s="33">
        <f>C8</f>
        <v/>
      </c>
      <c r="I17" s="34">
        <f>G17*H17</f>
        <v/>
      </c>
      <c r="J17" s="35">
        <f>F17*I17</f>
        <v/>
      </c>
      <c r="K17" s="36">
        <f>C10</f>
        <v/>
      </c>
      <c r="L17" s="37">
        <f>J17*K17</f>
        <v/>
      </c>
      <c r="M17" s="37">
        <f>L17/12</f>
        <v/>
      </c>
    </row>
    <row r="18" ht="22" customHeight="1">
      <c r="B18" s="29" t="inlineStr">
        <is>
          <t>CAD/BIM-Workstation (inkl. 2 Monitore)</t>
        </is>
      </c>
      <c r="C18" s="30" t="n">
        <v>4</v>
      </c>
      <c r="D18" s="31" t="n">
        <v>320</v>
      </c>
      <c r="E18" s="31">
        <f>C18*D18</f>
        <v/>
      </c>
      <c r="F18" s="32">
        <f>E18/1000</f>
        <v/>
      </c>
      <c r="G18" s="30">
        <f>C7</f>
        <v/>
      </c>
      <c r="H18" s="33">
        <f>C8</f>
        <v/>
      </c>
      <c r="I18" s="34">
        <f>G18*H18</f>
        <v/>
      </c>
      <c r="J18" s="35">
        <f>F18*I18</f>
        <v/>
      </c>
      <c r="K18" s="36">
        <f>C10</f>
        <v/>
      </c>
      <c r="L18" s="37">
        <f>J18*K18</f>
        <v/>
      </c>
      <c r="M18" s="37">
        <f>L18/12</f>
        <v/>
      </c>
    </row>
    <row r="19" ht="24" customHeight="1">
      <c r="B19" s="38" t="inlineStr">
        <is>
          <t>Gesamtergebnis (Alle 16 Arbeitsplätze)</t>
        </is>
      </c>
      <c r="C19" s="13">
        <f>SUM(C17:C18)</f>
        <v/>
      </c>
      <c r="D19" s="39" t="inlineStr">
        <is>
          <t>Ø =E19/C19</t>
        </is>
      </c>
      <c r="E19" s="39">
        <f>SUM(E17:E18)</f>
        <v/>
      </c>
      <c r="F19" s="40">
        <f>SUM(F17:F18)</f>
        <v/>
      </c>
      <c r="G19" s="13">
        <f>C7</f>
        <v/>
      </c>
      <c r="H19" s="41">
        <f>C8</f>
        <v/>
      </c>
      <c r="I19" s="42">
        <f>I17</f>
        <v/>
      </c>
      <c r="J19" s="43">
        <f>SUM(J17:J18)</f>
        <v/>
      </c>
      <c r="K19" s="44">
        <f>C10</f>
        <v/>
      </c>
      <c r="L19" s="45">
        <f>SUM(L17:L18)</f>
        <v/>
      </c>
      <c r="M19" s="45">
        <f>SUM(M17:M18)</f>
        <v/>
      </c>
    </row>
    <row r="20"/>
    <row r="21" ht="24" customHeight="1">
      <c r="B21" s="3" t="inlineStr">
        <is>
          <t>3. Wichtige Kennzahlen &amp; Betriebskosten-Analyse</t>
        </is>
      </c>
    </row>
    <row r="22" ht="20" customHeight="1">
      <c r="B22" s="24" t="inlineStr">
        <is>
          <t>Gesamt-Stromkosten pro Jahr</t>
        </is>
      </c>
      <c r="C22" s="46">
        <f>L19</f>
        <v/>
      </c>
      <c r="D22" s="6" t="inlineStr">
        <is>
          <t>€ / Jahr</t>
        </is>
      </c>
      <c r="E22" s="7" t="inlineStr">
        <is>
          <t>Verbindliche Kalkulationsbasis</t>
        </is>
      </c>
      <c r="F22" s="20" t="n"/>
      <c r="G22" s="20" t="n"/>
      <c r="H22" s="20" t="n"/>
      <c r="I22" s="20" t="n"/>
      <c r="J22" s="20" t="n"/>
      <c r="K22" s="20" t="n"/>
      <c r="L22" s="20" t="n"/>
      <c r="M22" s="21" t="n"/>
    </row>
    <row r="23" ht="20" customHeight="1">
      <c r="B23" s="24" t="inlineStr">
        <is>
          <t>Monatliche Stromkosten</t>
        </is>
      </c>
      <c r="C23" s="46">
        <f>M19</f>
        <v/>
      </c>
      <c r="D23" s="6" t="inlineStr">
        <is>
          <t>€ / Monat</t>
        </is>
      </c>
      <c r="E23" s="7" t="inlineStr">
        <is>
          <t>Laufende monatliche Belastung</t>
        </is>
      </c>
      <c r="F23" s="20" t="n"/>
      <c r="G23" s="20" t="n"/>
      <c r="H23" s="20" t="n"/>
      <c r="I23" s="20" t="n"/>
      <c r="J23" s="20" t="n"/>
      <c r="K23" s="20" t="n"/>
      <c r="L23" s="20" t="n"/>
      <c r="M23" s="21" t="n"/>
    </row>
    <row r="24" ht="20" customHeight="1">
      <c r="B24" s="4" t="inlineStr">
        <is>
          <t>Tägliche Stromkosten (gesamt)</t>
        </is>
      </c>
      <c r="C24" s="46">
        <f>L19/C7</f>
        <v/>
      </c>
      <c r="D24" s="6" t="inlineStr">
        <is>
          <t>€ / Arbeitstag</t>
        </is>
      </c>
      <c r="E24" s="7" t="inlineStr">
        <is>
          <t>Kosten je regulärem Arbeitstag</t>
        </is>
      </c>
      <c r="F24" s="20" t="n"/>
      <c r="G24" s="20" t="n"/>
      <c r="H24" s="20" t="n"/>
      <c r="I24" s="20" t="n"/>
      <c r="J24" s="20" t="n"/>
      <c r="K24" s="20" t="n"/>
      <c r="L24" s="20" t="n"/>
      <c r="M24" s="21" t="n"/>
    </row>
    <row r="25" ht="20" customHeight="1">
      <c r="B25" s="4" t="inlineStr">
        <is>
          <t>Stromkosten pro Arbeitsplatz / Jahr</t>
        </is>
      </c>
      <c r="C25" s="46">
        <f>L19/C19</f>
        <v/>
      </c>
      <c r="D25" s="6" t="inlineStr">
        <is>
          <t>€ / AP / Jahr</t>
        </is>
      </c>
      <c r="E25" s="7" t="inlineStr">
        <is>
          <t>Durchschnitt aller 16 Plätze</t>
        </is>
      </c>
      <c r="F25" s="20" t="n"/>
      <c r="G25" s="20" t="n"/>
      <c r="H25" s="20" t="n"/>
      <c r="I25" s="20" t="n"/>
      <c r="J25" s="20" t="n"/>
      <c r="K25" s="20" t="n"/>
      <c r="L25" s="20" t="n"/>
      <c r="M25" s="21" t="n"/>
    </row>
    <row r="26" ht="20" customHeight="1">
      <c r="B26" s="4" t="inlineStr">
        <is>
          <t>Anteil Standard-PCs an Energiekosten</t>
        </is>
      </c>
      <c r="C26" s="47">
        <f>L17/L19</f>
        <v/>
      </c>
      <c r="D26" s="6" t="inlineStr">
        <is>
          <t>%</t>
        </is>
      </c>
      <c r="E26" s="7" t="inlineStr">
        <is>
          <t>12 Arbeitsplätze (56,8 % d. Kosten)</t>
        </is>
      </c>
      <c r="F26" s="20" t="n"/>
      <c r="G26" s="20" t="n"/>
      <c r="H26" s="20" t="n"/>
      <c r="I26" s="20" t="n"/>
      <c r="J26" s="20" t="n"/>
      <c r="K26" s="20" t="n"/>
      <c r="L26" s="20" t="n"/>
      <c r="M26" s="21" t="n"/>
    </row>
    <row r="27" ht="20" customHeight="1">
      <c r="B27" s="4" t="inlineStr">
        <is>
          <t>Anteil CAD-Workstations an Energiekosten</t>
        </is>
      </c>
      <c r="C27" s="47">
        <f>L18/L19</f>
        <v/>
      </c>
      <c r="D27" s="6" t="inlineStr">
        <is>
          <t>%</t>
        </is>
      </c>
      <c r="E27" s="7" t="inlineStr">
        <is>
          <t>4 Arbeitsplätze (43,2 % d. Kosten)</t>
        </is>
      </c>
      <c r="F27" s="20" t="n"/>
      <c r="G27" s="20" t="n"/>
      <c r="H27" s="20" t="n"/>
      <c r="I27" s="20" t="n"/>
      <c r="J27" s="20" t="n"/>
      <c r="K27" s="20" t="n"/>
      <c r="L27" s="20" t="n"/>
      <c r="M27" s="21" t="n"/>
    </row>
    <row r="28" ht="20" customHeight="1">
      <c r="B28" s="4" t="inlineStr">
        <is>
          <t>CO2-Emissionen pro Jahr (Strommix Dtl.)</t>
        </is>
      </c>
      <c r="C28" s="48">
        <f>J19*0.38/1000</f>
        <v/>
      </c>
      <c r="D28" s="6" t="inlineStr">
        <is>
          <t>t CO2 / Jahr</t>
        </is>
      </c>
      <c r="E28" s="7" t="inlineStr">
        <is>
          <t>Basis: 380 g CO2 pro kWh</t>
        </is>
      </c>
      <c r="F28" s="20" t="n"/>
      <c r="G28" s="20" t="n"/>
      <c r="H28" s="20" t="n"/>
      <c r="I28" s="20" t="n"/>
      <c r="J28" s="20" t="n"/>
      <c r="K28" s="20" t="n"/>
      <c r="L28" s="20" t="n"/>
      <c r="M28" s="21" t="n"/>
    </row>
    <row r="29" ht="20" customHeight="1">
      <c r="B29" s="4" t="inlineStr">
        <is>
          <t>Einsparpotenzial durch Standby-Management</t>
        </is>
      </c>
      <c r="C29" s="46">
        <f>L19*0.15</f>
        <v/>
      </c>
      <c r="D29" s="6" t="inlineStr">
        <is>
          <t>€ / Jahr</t>
        </is>
      </c>
      <c r="E29" s="7" t="inlineStr">
        <is>
          <t>Ca. 15 % Ersparnis durch Richtlinien</t>
        </is>
      </c>
      <c r="F29" s="20" t="n"/>
      <c r="G29" s="20" t="n"/>
      <c r="H29" s="20" t="n"/>
      <c r="I29" s="20" t="n"/>
      <c r="J29" s="20" t="n"/>
      <c r="K29" s="20" t="n"/>
      <c r="L29" s="20" t="n"/>
      <c r="M29" s="21" t="n"/>
    </row>
    <row r="30"/>
    <row r="31"/>
    <row r="32" ht="24" customHeight="1">
      <c r="B32" s="3" t="inlineStr">
        <is>
          <t>4. Handlungsempfehlungen &amp; Energieeffizienz-Tipps für VektorPlan GmbH</t>
        </is>
      </c>
    </row>
    <row r="33" ht="20" customHeight="1">
      <c r="B33" s="49" t="inlineStr">
        <is>
          <t>1. Automatische Energiesparprofile (GPO): Windows-Richtlinie aktiviert Display-Standby nach 10 Minuten und Ruhezustand nach 20 Minuten Inaktivität.</t>
        </is>
      </c>
      <c r="C33" s="20" t="n"/>
      <c r="D33" s="20" t="n"/>
      <c r="E33" s="20" t="n"/>
      <c r="F33" s="20" t="n"/>
      <c r="G33" s="20" t="n"/>
      <c r="H33" s="20" t="n"/>
      <c r="I33" s="20" t="n"/>
      <c r="J33" s="20" t="n"/>
      <c r="K33" s="20" t="n"/>
      <c r="L33" s="20" t="n"/>
      <c r="M33" s="21" t="n"/>
    </row>
    <row r="34" ht="20" customHeight="1">
      <c r="B34" s="49" t="inlineStr">
        <is>
          <t>2. Schaltbare Master-Slave-Steckdosenleisten: Vollständige Trennung von Rechnern und Monitoren vom Stromnetz nach Feierabend verhindert Standby-Verluste.</t>
        </is>
      </c>
      <c r="C34" s="20" t="n"/>
      <c r="D34" s="20" t="n"/>
      <c r="E34" s="20" t="n"/>
      <c r="F34" s="20" t="n"/>
      <c r="G34" s="20" t="n"/>
      <c r="H34" s="20" t="n"/>
      <c r="I34" s="20" t="n"/>
      <c r="J34" s="20" t="n"/>
      <c r="K34" s="20" t="n"/>
      <c r="L34" s="20" t="n"/>
      <c r="M34" s="21" t="n"/>
    </row>
    <row r="35" ht="20" customHeight="1">
      <c r="B35" s="49" t="inlineStr">
        <is>
          <t>3. Ergonomische Monitore mit Eco-Sensoren: Die Dell UltraSharp U2724D verfügen über Helligkeitssensoren, die den Stromverbrauch je nach Raumlicht um bis zu 25 % senken.</t>
        </is>
      </c>
      <c r="C35" s="20" t="n"/>
      <c r="D35" s="20" t="n"/>
      <c r="E35" s="20" t="n"/>
      <c r="F35" s="20" t="n"/>
      <c r="G35" s="20" t="n"/>
      <c r="H35" s="20" t="n"/>
      <c r="I35" s="20" t="n"/>
      <c r="J35" s="20" t="n"/>
      <c r="K35" s="20" t="n"/>
      <c r="L35" s="20" t="n"/>
      <c r="M35" s="21" t="n"/>
    </row>
    <row r="36" ht="20" customHeight="1">
      <c r="B36" s="49" t="inlineStr">
        <is>
          <t>4. CAD-Workstation Power-Management: Intelligente Lastanpassung der NVIDIA RTX 4000 Ada taktet die GPU bei reiner Büroarbeit automatisch in energiesparenden 2D-Modus herunter.</t>
        </is>
      </c>
      <c r="C36" s="20" t="n"/>
      <c r="D36" s="20" t="n"/>
      <c r="E36" s="20" t="n"/>
      <c r="F36" s="20" t="n"/>
      <c r="G36" s="20" t="n"/>
      <c r="H36" s="20" t="n"/>
      <c r="I36" s="20" t="n"/>
      <c r="J36" s="20" t="n"/>
      <c r="K36" s="20" t="n"/>
      <c r="L36" s="20" t="n"/>
      <c r="M36" s="21" t="n"/>
    </row>
  </sheetData>
  <mergeCells count="26">
    <mergeCell ref="B2:M2"/>
    <mergeCell ref="E29:M29"/>
    <mergeCell ref="D13:F13"/>
    <mergeCell ref="D11:F11"/>
    <mergeCell ref="E28:M28"/>
    <mergeCell ref="D7:F7"/>
    <mergeCell ref="B34:M34"/>
    <mergeCell ref="E27:M27"/>
    <mergeCell ref="B21:M21"/>
    <mergeCell ref="D12:F12"/>
    <mergeCell ref="D9:F9"/>
    <mergeCell ref="E26:M26"/>
    <mergeCell ref="D8:F8"/>
    <mergeCell ref="B15:M15"/>
    <mergeCell ref="E25:M25"/>
    <mergeCell ref="B33:M33"/>
    <mergeCell ref="E22:M22"/>
    <mergeCell ref="B36:M36"/>
    <mergeCell ref="B32:M32"/>
    <mergeCell ref="B35:M35"/>
    <mergeCell ref="D10:F10"/>
    <mergeCell ref="E24:M24"/>
    <mergeCell ref="B3:M3"/>
    <mergeCell ref="E23:M23"/>
    <mergeCell ref="B5:F5"/>
    <mergeCell ref="D6:F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2026-09-07T08:53:27Z</dcterms:created>
  <dcterms:modified xmlns:dcterms="http://purl.org/dc/terms/" xmlns:xsi="http://www.w3.org/2001/XMLSchema-instance" xsi:type="dcterms:W3CDTF">2026-09-07T08:53:27Z</dcterms:modified>
</cp:coreProperties>
</file>