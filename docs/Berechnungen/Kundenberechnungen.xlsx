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icherplatzbedarf" sheetId="1" state="visible" r:id="rId1"/>
    <sheet xmlns:r="http://schemas.openxmlformats.org/officeDocument/2006/relationships" name="Energiekos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pivotButton="0" quotePrefix="0" xfId="0"/>
    <xf numFmtId="0" fontId="1" fillId="3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</cols>
  <sheetData>
    <row r="1">
      <c r="A1" s="1" t="inlineStr">
        <is>
          <t>Beschreibung</t>
        </is>
      </c>
      <c r="B1" s="1" t="inlineStr">
        <is>
          <t>Wert</t>
        </is>
      </c>
      <c r="C1" s="1" t="inlineStr">
        <is>
          <t>Einheit</t>
        </is>
      </c>
    </row>
    <row r="2">
      <c r="A2" t="inlineStr">
        <is>
          <t>Anzahl Arbeitsplätze</t>
        </is>
      </c>
      <c r="B2" t="n">
        <v>16</v>
      </c>
      <c r="C2" t="inlineStr"/>
    </row>
    <row r="3">
      <c r="A3" t="inlineStr">
        <is>
          <t>Daten pro Tag/Arbeitsplatz</t>
        </is>
      </c>
      <c r="B3" t="n">
        <v>350</v>
      </c>
      <c r="C3" t="inlineStr">
        <is>
          <t>MiB</t>
        </is>
      </c>
    </row>
    <row r="4">
      <c r="A4" t="inlineStr">
        <is>
          <t>Arbeitstage</t>
        </is>
      </c>
      <c r="B4" t="n">
        <v>65</v>
      </c>
      <c r="C4" t="inlineStr">
        <is>
          <t>Tage</t>
        </is>
      </c>
    </row>
    <row r="5">
      <c r="A5" t="inlineStr">
        <is>
          <t>Gesamtdaten (MiB)</t>
        </is>
      </c>
      <c r="B5">
        <f>B2*B3*B4</f>
        <v/>
      </c>
      <c r="C5" t="inlineStr">
        <is>
          <t>MiB</t>
        </is>
      </c>
    </row>
    <row r="6">
      <c r="A6" t="inlineStr">
        <is>
          <t>Gesamtdaten (GiB)</t>
        </is>
      </c>
      <c r="B6">
        <f>B5/1024</f>
        <v/>
      </c>
      <c r="C6" t="inlineStr">
        <is>
          <t>GiB</t>
        </is>
      </c>
    </row>
    <row r="7">
      <c r="A7" t="inlineStr">
        <is>
          <t>Aufgerundet (GiB)</t>
        </is>
      </c>
      <c r="B7">
        <f>ROUNDUP(B6, 0)</f>
        <v/>
      </c>
      <c r="C7" t="inlineStr">
        <is>
          <t>GiB</t>
        </is>
      </c>
    </row>
    <row r="8">
      <c r="A8" t="inlineStr">
        <is>
          <t>Sicherheitszuschlag</t>
        </is>
      </c>
      <c r="B8" t="inlineStr">
        <is>
          <t>25%</t>
        </is>
      </c>
      <c r="C8" t="inlineStr"/>
    </row>
    <row r="9">
      <c r="A9" t="inlineStr">
        <is>
          <t>Gesamtbedarf inkl. Zuschlag (GiB)</t>
        </is>
      </c>
      <c r="B9" s="2">
        <f>ROUNDUP(B7*1.25, 0)</f>
        <v/>
      </c>
      <c r="C9" t="inlineStr">
        <is>
          <t>GiB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7" max="7"/>
    <col width="20" customWidth="1" min="9" max="9"/>
  </cols>
  <sheetData>
    <row r="1">
      <c r="A1" s="1" t="inlineStr">
        <is>
          <t>Arbeitsplatztyp</t>
        </is>
      </c>
      <c r="B1" s="1" t="inlineStr">
        <is>
          <t>Anzahl</t>
        </is>
      </c>
      <c r="C1" s="1" t="inlineStr">
        <is>
          <t>Leistung/PC (W)</t>
        </is>
      </c>
      <c r="D1" s="1" t="inlineStr">
        <is>
          <t>Gesamtleistung (W)</t>
        </is>
      </c>
      <c r="E1" s="1" t="inlineStr">
        <is>
          <t>Arbeitstage</t>
        </is>
      </c>
      <c r="F1" s="1" t="inlineStr">
        <is>
          <t>Stunden/Tag</t>
        </is>
      </c>
      <c r="G1" s="1" t="inlineStr">
        <is>
          <t>Energie (kWh/Jahr)</t>
        </is>
      </c>
      <c r="H1" s="1" t="inlineStr">
        <is>
          <t>Strompreis (€/kWh)</t>
        </is>
      </c>
      <c r="I1" s="1" t="inlineStr">
        <is>
          <t>Kosten (€/Jahr)</t>
        </is>
      </c>
    </row>
    <row r="2">
      <c r="A2" t="inlineStr">
        <is>
          <t>Standard-PCs</t>
        </is>
      </c>
      <c r="B2" t="n">
        <v>12</v>
      </c>
      <c r="C2" t="n">
        <v>140</v>
      </c>
      <c r="D2">
        <f>B2*C2</f>
        <v/>
      </c>
      <c r="E2" t="n">
        <v>220</v>
      </c>
      <c r="F2" t="n">
        <v>8.5</v>
      </c>
      <c r="G2">
        <f>D2*E2*F2/1000</f>
        <v/>
      </c>
      <c r="H2" t="n">
        <v>0.32</v>
      </c>
      <c r="I2">
        <f>G2*H2</f>
        <v/>
      </c>
    </row>
    <row r="3">
      <c r="A3" t="inlineStr">
        <is>
          <t>CAD-Workstations</t>
        </is>
      </c>
      <c r="B3" t="n">
        <v>4</v>
      </c>
      <c r="C3" t="n">
        <v>320</v>
      </c>
      <c r="D3">
        <f>B3*C3</f>
        <v/>
      </c>
      <c r="E3" t="n">
        <v>220</v>
      </c>
      <c r="F3" t="n">
        <v>8.5</v>
      </c>
      <c r="G3">
        <f>D3*E3*F3/1000</f>
        <v/>
      </c>
      <c r="H3" t="n">
        <v>0.32</v>
      </c>
      <c r="I3">
        <f>G3*H3</f>
        <v/>
      </c>
    </row>
    <row r="4">
      <c r="A4" s="3" t="inlineStr">
        <is>
          <t>Gesamt</t>
        </is>
      </c>
      <c r="B4" t="inlineStr"/>
      <c r="C4" t="inlineStr"/>
      <c r="D4">
        <f>SUM(D2:D3)</f>
        <v/>
      </c>
      <c r="E4" t="inlineStr"/>
      <c r="F4" t="inlineStr"/>
      <c r="G4">
        <f>SUM(G2:G3)</f>
        <v/>
      </c>
      <c r="H4" t="inlineStr"/>
      <c r="I4" s="2">
        <f>SUM(I2:I3)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2026-09-07T06:41:54Z</dcterms:created>
  <dcterms:modified xmlns:dcterms="http://purl.org/dc/terms/" xmlns:xsi="http://www.w3.org/2001/XMLSchema-instance" xsi:type="dcterms:W3CDTF">2026-09-07T06:41:54Z</dcterms:modified>
</cp:coreProperties>
</file>