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platzbeda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 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F497D"/>
      <sz val="11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.5"/>
    </font>
    <font>
      <name val="Calibri"/>
      <color rgb="00333333"/>
      <sz val="9.5"/>
    </font>
    <font>
      <name val="Calibri"/>
      <color rgb="00000000"/>
      <sz val="10"/>
    </font>
    <font>
      <name val="Calibri"/>
      <b val="1"/>
      <color rgb="00000000"/>
      <sz val="10.5"/>
    </font>
    <font>
      <name val="Calibri"/>
      <b val="1"/>
      <color rgb="001F497D"/>
      <sz val="10"/>
    </font>
    <font>
      <name val="Calibri"/>
      <b val="1"/>
      <color rgb="001F497D"/>
      <sz val="10.5"/>
    </font>
    <font>
      <name val="Calibri"/>
      <b val="1"/>
      <color rgb="001F497D"/>
      <sz val="9.5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F5597"/>
      </patternFill>
    </fill>
    <fill>
      <patternFill patternType="solid">
        <fgColor rgb="00FFF8E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/>
    </xf>
    <xf numFmtId="3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10" fillId="4" borderId="2" applyAlignment="1" pivotButton="0" quotePrefix="0" xfId="0">
      <alignment vertical="center"/>
    </xf>
    <xf numFmtId="3" fontId="11" fillId="4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4" customWidth="1" min="4" max="4"/>
    <col width="48" customWidth="1" min="5" max="5"/>
  </cols>
  <sheetData>
    <row r="1" ht="14" customHeight="1"/>
    <row r="2" ht="28" customHeight="1">
      <c r="B2" s="1" t="inlineStr">
        <is>
          <t>KUNDENBERECHNUNG: SPEICHERPLATZBEDARF CENTRAL FILESERVER</t>
        </is>
      </c>
    </row>
    <row r="3" ht="20" customHeight="1">
      <c r="B3" s="2" t="inlineStr">
        <is>
          <t>Auftraggeber: VektorPlan GmbH | Auftragnehmer: NextLevel IT Solutions GmbH | Bearbeiter: Siyar (Berechnungen) | Aufgabe B.1</t>
        </is>
      </c>
    </row>
    <row r="4" ht="12" customHeight="1"/>
    <row r="5" ht="24" customHeight="1">
      <c r="B5" s="3" t="inlineStr">
        <is>
          <t>1. Ausgangsparameter gemäß Kundenanforderung</t>
        </is>
      </c>
    </row>
    <row r="6" ht="20" customHeight="1">
      <c r="B6" s="4" t="inlineStr">
        <is>
          <t>Anzahl ausgestatteter Arbeitsplätze</t>
        </is>
      </c>
      <c r="C6" s="5" t="n">
        <v>16</v>
      </c>
      <c r="D6" s="6" t="inlineStr">
        <is>
          <t>Plätze</t>
        </is>
      </c>
      <c r="E6" s="7" t="inlineStr">
        <is>
          <t>12 Standard-PCs + 4 CAD-Workstations</t>
        </is>
      </c>
    </row>
    <row r="7" ht="20" customHeight="1">
      <c r="B7" s="4" t="inlineStr">
        <is>
          <t>Durchschnittliches Datenaufkommen / Tag / AP</t>
        </is>
      </c>
      <c r="C7" s="5" t="n">
        <v>350</v>
      </c>
      <c r="D7" s="6" t="inlineStr">
        <is>
          <t>MiB / Tag</t>
        </is>
      </c>
      <c r="E7" s="7" t="inlineStr">
        <is>
          <t>Neue Projekt- und CAD-Plandaten pro Tag</t>
        </is>
      </c>
    </row>
    <row r="8" ht="20" customHeight="1">
      <c r="B8" s="4" t="inlineStr">
        <is>
          <t>Arbeitstage im Quartal (Q1)</t>
        </is>
      </c>
      <c r="C8" s="5" t="n">
        <v>65</v>
      </c>
      <c r="D8" s="6" t="inlineStr">
        <is>
          <t>Arbeitstage</t>
        </is>
      </c>
      <c r="E8" s="7" t="inlineStr">
        <is>
          <t>Planungszeitraum gemäß Aufgabenstellung B.1</t>
        </is>
      </c>
    </row>
    <row r="9" ht="20" customHeight="1">
      <c r="B9" s="4" t="inlineStr">
        <is>
          <t>Binär-Umrechnungsfaktor (IEC 80000-13)</t>
        </is>
      </c>
      <c r="C9" s="5" t="n">
        <v>1024</v>
      </c>
      <c r="D9" s="6" t="inlineStr">
        <is>
          <t>MiB / GiB</t>
        </is>
      </c>
      <c r="E9" s="7" t="inlineStr">
        <is>
          <t>Exakte binäre Speichereinheit (2^10 = 1.024)</t>
        </is>
      </c>
    </row>
    <row r="10" ht="20" customHeight="1">
      <c r="B10" s="4" t="inlineStr">
        <is>
          <t>Sicherheits- und Pufferzuschlag</t>
        </is>
      </c>
      <c r="C10" s="8" t="n">
        <v>0.25</v>
      </c>
      <c r="D10" s="6" t="inlineStr">
        <is>
          <t>%</t>
        </is>
      </c>
      <c r="E10" s="7" t="inlineStr">
        <is>
          <t>25 % Puffer für Revisionsstände, Backups &amp; Caches</t>
        </is>
      </c>
    </row>
    <row r="12" ht="24" customHeight="1">
      <c r="B12" s="3" t="inlineStr">
        <is>
          <t>2. Schritt-für-Schritt-Kalkulation (IHK-Prüfungsschema)</t>
        </is>
      </c>
    </row>
    <row r="13" ht="22" customHeight="1">
      <c r="B13" s="9" t="inlineStr">
        <is>
          <t>Schritt 1: Tägliches Datenaufkommen gesamt</t>
        </is>
      </c>
      <c r="C13" s="10">
        <f>C6*C7</f>
        <v/>
      </c>
      <c r="D13" s="6" t="inlineStr">
        <is>
          <t>MiB / Tag</t>
        </is>
      </c>
      <c r="E13" s="7" t="inlineStr">
        <is>
          <t>16 Plätze × 350 MiB/Tag = 5.600 MiB täglich</t>
        </is>
      </c>
    </row>
    <row r="14" ht="22" customHeight="1">
      <c r="B14" s="9" t="inlineStr">
        <is>
          <t>Schritt 2: Quartalsdaten unkomprimiert (65 AT)</t>
        </is>
      </c>
      <c r="C14" s="10">
        <f>C13*C8</f>
        <v/>
      </c>
      <c r="D14" s="6" t="inlineStr">
        <is>
          <t>MiB / Quartal</t>
        </is>
      </c>
      <c r="E14" s="7" t="inlineStr">
        <is>
          <t>5.600 MiB/Tag × 65 Tage = 364.000 MiB pro Quartal</t>
        </is>
      </c>
    </row>
    <row r="15" ht="22" customHeight="1">
      <c r="B15" s="9" t="inlineStr">
        <is>
          <t>Schritt 3: Umrechnung in GiB (exakt binär)</t>
        </is>
      </c>
      <c r="C15" s="11">
        <f>C14/C9</f>
        <v/>
      </c>
      <c r="D15" s="6" t="inlineStr">
        <is>
          <t>GiB</t>
        </is>
      </c>
      <c r="E15" s="7" t="inlineStr">
        <is>
          <t>364.000 MiB ÷ 1.024 = 355,46875 GiB</t>
        </is>
      </c>
    </row>
    <row r="16" ht="22" customHeight="1">
      <c r="B16" s="9" t="inlineStr">
        <is>
          <t>Schritt 4: Aufrunden auf volle GiB (Netto)</t>
        </is>
      </c>
      <c r="C16" s="10">
        <f>ROUNDUP(C15,0)</f>
        <v/>
      </c>
      <c r="D16" s="6" t="inlineStr">
        <is>
          <t>GiB</t>
        </is>
      </c>
      <c r="E16" s="7" t="inlineStr">
        <is>
          <t>Kaufmännisch &amp; technisch aufgerundet: 356 GiB</t>
        </is>
      </c>
    </row>
    <row r="17" ht="22" customHeight="1">
      <c r="B17" s="9" t="inlineStr">
        <is>
          <t>Schritt 5: Sicherheits- und Pufferzuschlag (25 %)</t>
        </is>
      </c>
      <c r="C17" s="10">
        <f>C16*C10</f>
        <v/>
      </c>
      <c r="D17" s="6" t="inlineStr">
        <is>
          <t>GiB</t>
        </is>
      </c>
      <c r="E17" s="7" t="inlineStr">
        <is>
          <t>356 GiB × 0,25 = 89 GiB Pufferkapazität</t>
        </is>
      </c>
    </row>
    <row r="18" ht="22" customHeight="1">
      <c r="B18" s="12" t="inlineStr">
        <is>
          <t>Schritt 6: Gesamter Brutto-Speicherplatzbedarf</t>
        </is>
      </c>
      <c r="C18" s="13">
        <f>C16+C17</f>
        <v/>
      </c>
      <c r="D18" s="14" t="inlineStr">
        <is>
          <t>GiB</t>
        </is>
      </c>
      <c r="E18" s="15" t="inlineStr">
        <is>
          <t>356 GiB Netto + 89 GiB Puffer = 445 GiB Gesamtkapazität</t>
        </is>
      </c>
    </row>
    <row r="20" ht="24" customHeight="1">
      <c r="B20" s="3" t="inlineStr">
        <is>
          <t>3. Langzeit-Projektion &amp; Dimensionierungsempfehlung Fileserver</t>
        </is>
      </c>
    </row>
    <row r="21" ht="20" customHeight="1">
      <c r="B21" s="4" t="inlineStr">
        <is>
          <t>Jahresbedarf Netto (4 Quartale)</t>
        </is>
      </c>
      <c r="C21" s="5">
        <f>C16*4</f>
        <v/>
      </c>
      <c r="D21" s="6" t="inlineStr">
        <is>
          <t>GiB / Jahr</t>
        </is>
      </c>
      <c r="E21" s="7" t="inlineStr">
        <is>
          <t>1.424 GiB (ca. 1,39 TiB reine Projektdaten pro Jahr)</t>
        </is>
      </c>
    </row>
    <row r="22" ht="20" customHeight="1">
      <c r="B22" s="4" t="inlineStr">
        <is>
          <t>Jahresbedarf Brutto inkl. 25 % Puffer</t>
        </is>
      </c>
      <c r="C22" s="5">
        <f>C18*4</f>
        <v/>
      </c>
      <c r="D22" s="6" t="inlineStr">
        <is>
          <t>GiB / Jahr</t>
        </is>
      </c>
      <c r="E22" s="7" t="inlineStr">
        <is>
          <t>1.780 GiB (ca. 1,74 TiB Jahresgesamtkapazität)</t>
        </is>
      </c>
    </row>
    <row r="23" ht="20" customHeight="1">
      <c r="B23" s="4" t="inlineStr">
        <is>
          <t>Empfohlene Netto-Storage-Kapazität (3 Jahre)</t>
        </is>
      </c>
      <c r="C23" s="16" t="inlineStr">
        <is>
          <t>6.000</t>
        </is>
      </c>
      <c r="D23" s="6" t="inlineStr">
        <is>
          <t>GiB (ca. 6 TB)</t>
        </is>
      </c>
      <c r="E23" s="7" t="inlineStr">
        <is>
          <t>Ausreichend für 3 Jahre Wachstum + CAD-Versionierung</t>
        </is>
      </c>
    </row>
    <row r="24" ht="20" customHeight="1">
      <c r="B24" s="4" t="inlineStr">
        <is>
          <t>Empfohlene RAID-Konfiguration</t>
        </is>
      </c>
      <c r="C24" s="16" t="inlineStr">
        <is>
          <t>RAID 10</t>
        </is>
      </c>
      <c r="D24" s="6" t="inlineStr">
        <is>
          <t>4x 4 TB Enterprise SAS/SATA</t>
        </is>
      </c>
      <c r="E24" s="7" t="inlineStr">
        <is>
          <t>Maximale I/O-Performance und hohe Ausfallsicherheit</t>
        </is>
      </c>
    </row>
    <row r="25" ht="20" customHeight="1">
      <c r="B25" s="4" t="inlineStr">
        <is>
          <t>Backup-Strategie (3-2-1 Regel)</t>
        </is>
      </c>
      <c r="C25" s="16" t="inlineStr">
        <is>
          <t>Tägliches Snapshot + Cloud</t>
        </is>
      </c>
      <c r="D25" s="6" t="inlineStr">
        <is>
          <t>Veeam / Azure</t>
        </is>
      </c>
      <c r="E25" s="7" t="inlineStr">
        <is>
          <t>Tägliche Sicherung der 16 externen Samsung T7 SSDs</t>
        </is>
      </c>
    </row>
  </sheetData>
  <mergeCells count="5">
    <mergeCell ref="B20:E20"/>
    <mergeCell ref="B12:E12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2026-09-07T08:53:10Z</dcterms:created>
  <dcterms:modified xmlns:dcterms="http://purl.org/dc/terms/" xmlns:xsi="http://www.w3.org/2001/XMLSchema-instance" xsi:type="dcterms:W3CDTF">2026-09-07T08:53:10Z</dcterms:modified>
</cp:coreProperties>
</file>