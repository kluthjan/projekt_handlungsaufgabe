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ion Hardware" sheetId="1" state="visible" r:id="rId1"/>
    <sheet xmlns:r="http://schemas.openxmlformats.org/officeDocument/2006/relationships" name="Gesamtkalk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Kalkulationsschema</t>
        </is>
      </c>
      <c r="B1" s="1" t="inlineStr">
        <is>
          <t>Standard-PC</t>
        </is>
      </c>
      <c r="C1" s="1" t="inlineStr">
        <is>
          <t>CAD-Workstation</t>
        </is>
      </c>
      <c r="D1" s="1" t="inlineStr">
        <is>
          <t>Monitor</t>
        </is>
      </c>
      <c r="E1" s="1" t="inlineStr">
        <is>
          <t>Tastatur-Maus-Set</t>
        </is>
      </c>
      <c r="F1" s="1" t="inlineStr">
        <is>
          <t>Externe SSD</t>
        </is>
      </c>
      <c r="G1" s="1" t="inlineStr">
        <is>
          <t>Patchkabel</t>
        </is>
      </c>
      <c r="H1" s="1" t="inlineStr">
        <is>
          <t>MFP-Drucker</t>
        </is>
      </c>
      <c r="I1" s="1" t="inlineStr">
        <is>
          <t>Windows 11 Pro OEM</t>
        </is>
      </c>
    </row>
    <row r="2">
      <c r="A2" s="2" t="inlineStr">
        <is>
          <t>Bezugspreis (BP)</t>
        </is>
      </c>
      <c r="B2" s="3" t="n">
        <v>690</v>
      </c>
      <c r="C2" s="3" t="n">
        <v>3200</v>
      </c>
      <c r="D2" s="3" t="n">
        <v>310</v>
      </c>
      <c r="E2" s="3" t="n">
        <v>65</v>
      </c>
      <c r="F2" s="3" t="n">
        <v>95</v>
      </c>
      <c r="G2" s="3" t="n">
        <v>5.5</v>
      </c>
      <c r="H2" s="3" t="n">
        <v>2200</v>
      </c>
      <c r="I2" s="3" t="n">
        <v>135</v>
      </c>
    </row>
    <row r="3">
      <c r="A3" s="2" t="inlineStr">
        <is>
          <t>+ Handlungskosten (25%)</t>
        </is>
      </c>
      <c r="B3" s="3" t="n">
        <v>172.5</v>
      </c>
      <c r="C3" s="3" t="n">
        <v>800</v>
      </c>
      <c r="D3" s="3" t="n">
        <v>77.5</v>
      </c>
      <c r="E3" s="3" t="n">
        <v>16.25</v>
      </c>
      <c r="F3" s="3" t="n">
        <v>23.75</v>
      </c>
      <c r="G3" s="3" t="n">
        <v>1.38</v>
      </c>
      <c r="H3" s="3" t="n">
        <v>550</v>
      </c>
      <c r="I3" s="3" t="n">
        <v>33.75</v>
      </c>
    </row>
    <row r="4">
      <c r="A4" s="2">
        <f> Selbstkostenpreis (SKP)</f>
        <v/>
      </c>
      <c r="B4" s="3" t="n">
        <v>862.5</v>
      </c>
      <c r="C4" s="3" t="n">
        <v>4000</v>
      </c>
      <c r="D4" s="3" t="n">
        <v>387.5</v>
      </c>
      <c r="E4" s="3" t="n">
        <v>81.25</v>
      </c>
      <c r="F4" s="3" t="n">
        <v>118.75</v>
      </c>
      <c r="G4" s="3" t="n">
        <v>6.88</v>
      </c>
      <c r="H4" s="3" t="n">
        <v>2750</v>
      </c>
      <c r="I4" s="3" t="n">
        <v>168.75</v>
      </c>
    </row>
    <row r="5">
      <c r="A5" s="2" t="inlineStr">
        <is>
          <t>+ Gewinnzuschlag (12%)</t>
        </is>
      </c>
      <c r="B5" s="3" t="n">
        <v>103.5</v>
      </c>
      <c r="C5" s="3" t="n">
        <v>480</v>
      </c>
      <c r="D5" s="3" t="n">
        <v>46.5</v>
      </c>
      <c r="E5" s="3" t="n">
        <v>9.75</v>
      </c>
      <c r="F5" s="3" t="n">
        <v>14.25</v>
      </c>
      <c r="G5" s="3" t="n">
        <v>0.82</v>
      </c>
      <c r="H5" s="3" t="n">
        <v>330</v>
      </c>
      <c r="I5" s="3" t="n">
        <v>20.25</v>
      </c>
    </row>
    <row r="6">
      <c r="A6" s="2">
        <f> Barverkaufspreis (BVP)</f>
        <v/>
      </c>
      <c r="B6" s="3" t="n">
        <v>966</v>
      </c>
      <c r="C6" s="3" t="n">
        <v>4480</v>
      </c>
      <c r="D6" s="3" t="n">
        <v>434</v>
      </c>
      <c r="E6" s="3" t="n">
        <v>91</v>
      </c>
      <c r="F6" s="3" t="n">
        <v>133</v>
      </c>
      <c r="G6" s="3" t="n">
        <v>7.7</v>
      </c>
      <c r="H6" s="3" t="n">
        <v>3080</v>
      </c>
      <c r="I6" s="3" t="n">
        <v>189</v>
      </c>
    </row>
    <row r="7">
      <c r="A7" s="2" t="inlineStr">
        <is>
          <t>+ Kundenskonto (3%)</t>
        </is>
      </c>
      <c r="B7" s="3" t="n">
        <v>29.88</v>
      </c>
      <c r="C7" s="3" t="n">
        <v>138.56</v>
      </c>
      <c r="D7" s="3" t="n">
        <v>13.42</v>
      </c>
      <c r="E7" s="3" t="n">
        <v>2.81</v>
      </c>
      <c r="F7" s="3" t="n">
        <v>4.11</v>
      </c>
      <c r="G7" s="3" t="n">
        <v>0.24</v>
      </c>
      <c r="H7" s="3" t="n">
        <v>95.26000000000001</v>
      </c>
      <c r="I7" s="3" t="n">
        <v>5.85</v>
      </c>
    </row>
    <row r="8">
      <c r="A8" s="2">
        <f> Zielverkaufspreis (ZVP)</f>
        <v/>
      </c>
      <c r="B8" s="3" t="n">
        <v>995.88</v>
      </c>
      <c r="C8" s="3" t="n">
        <v>4618.56</v>
      </c>
      <c r="D8" s="3" t="n">
        <v>447.42</v>
      </c>
      <c r="E8" s="3" t="n">
        <v>93.81</v>
      </c>
      <c r="F8" s="3" t="n">
        <v>137.11</v>
      </c>
      <c r="G8" s="3" t="n">
        <v>7.94</v>
      </c>
      <c r="H8" s="3" t="n">
        <v>3175.26</v>
      </c>
      <c r="I8" s="3" t="n">
        <v>194.85</v>
      </c>
    </row>
    <row r="9">
      <c r="A9" s="2" t="inlineStr">
        <is>
          <t>+ Kundenrabatt (0%)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2">
        <f> Listenverkaufspreis netto (LVP)</f>
        <v/>
      </c>
      <c r="B10" s="3" t="n">
        <v>995.88</v>
      </c>
      <c r="C10" s="3" t="n">
        <v>4618.56</v>
      </c>
      <c r="D10" s="3" t="n">
        <v>447.42</v>
      </c>
      <c r="E10" s="3" t="n">
        <v>93.81</v>
      </c>
      <c r="F10" s="3" t="n">
        <v>137.11</v>
      </c>
      <c r="G10" s="3" t="n">
        <v>7.94</v>
      </c>
      <c r="H10" s="3" t="n">
        <v>3175.26</v>
      </c>
      <c r="I10" s="3" t="n">
        <v>194.85</v>
      </c>
    </row>
    <row r="11">
      <c r="A11" s="2" t="inlineStr">
        <is>
          <t>+ Umsatzsteuer (19%)</t>
        </is>
      </c>
      <c r="B11" s="3" t="n">
        <v>189.22</v>
      </c>
      <c r="C11" s="3" t="n">
        <v>877.53</v>
      </c>
      <c r="D11" s="3" t="n">
        <v>85.01000000000001</v>
      </c>
      <c r="E11" s="3" t="n">
        <v>17.82</v>
      </c>
      <c r="F11" s="3" t="n">
        <v>26.05</v>
      </c>
      <c r="G11" s="3" t="n">
        <v>1.51</v>
      </c>
      <c r="H11" s="3" t="n">
        <v>603.3</v>
      </c>
      <c r="I11" s="3" t="n">
        <v>37.02</v>
      </c>
    </row>
    <row r="12">
      <c r="A12" s="2">
        <f> Listenverkaufspreis brutto</f>
        <v/>
      </c>
      <c r="B12" s="3" t="n">
        <v>1185.09</v>
      </c>
      <c r="C12" s="3" t="n">
        <v>5496.08</v>
      </c>
      <c r="D12" s="3" t="n">
        <v>532.4299999999999</v>
      </c>
      <c r="E12" s="3" t="n">
        <v>111.64</v>
      </c>
      <c r="F12" s="3" t="n">
        <v>163.16</v>
      </c>
      <c r="G12" s="3" t="n">
        <v>9.449999999999999</v>
      </c>
      <c r="H12" s="3" t="n">
        <v>3778.56</v>
      </c>
      <c r="I12" s="3" t="n">
        <v>231.87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Kategorie</t>
        </is>
      </c>
      <c r="B1" s="4" t="inlineStr">
        <is>
          <t>Position</t>
        </is>
      </c>
      <c r="C1" s="4" t="inlineStr">
        <is>
          <t>Menge</t>
        </is>
      </c>
      <c r="D1" s="4" t="inlineStr">
        <is>
          <t>Einzelpreis (LVP Netto) €</t>
        </is>
      </c>
      <c r="E1" s="4" t="inlineStr">
        <is>
          <t>Gesamtpreis Netto €</t>
        </is>
      </c>
    </row>
    <row r="2">
      <c r="A2" t="inlineStr">
        <is>
          <t>Hardware</t>
        </is>
      </c>
      <c r="B2" t="inlineStr">
        <is>
          <t>Standard-PC</t>
        </is>
      </c>
      <c r="C2" t="n">
        <v>12</v>
      </c>
      <c r="D2" t="n">
        <v>995.88</v>
      </c>
      <c r="E2" t="n">
        <v>11950.56</v>
      </c>
    </row>
    <row r="3">
      <c r="A3" t="inlineStr">
        <is>
          <t>Hardware</t>
        </is>
      </c>
      <c r="B3" t="inlineStr">
        <is>
          <t>CAD-Workstation</t>
        </is>
      </c>
      <c r="C3" t="n">
        <v>4</v>
      </c>
      <c r="D3" t="n">
        <v>4618.56</v>
      </c>
      <c r="E3" t="n">
        <v>18474.24</v>
      </c>
    </row>
    <row r="4">
      <c r="A4" t="inlineStr">
        <is>
          <t>Hardware</t>
        </is>
      </c>
      <c r="B4" t="inlineStr">
        <is>
          <t>Monitor</t>
        </is>
      </c>
      <c r="C4" t="n">
        <v>32</v>
      </c>
      <c r="D4" t="n">
        <v>447.42</v>
      </c>
      <c r="E4" t="n">
        <v>14317.44</v>
      </c>
    </row>
    <row r="5">
      <c r="A5" t="inlineStr">
        <is>
          <t>Hardware</t>
        </is>
      </c>
      <c r="B5" t="inlineStr">
        <is>
          <t>Tastatur-Maus-Set</t>
        </is>
      </c>
      <c r="C5" t="n">
        <v>16</v>
      </c>
      <c r="D5" t="n">
        <v>93.81</v>
      </c>
      <c r="E5" t="n">
        <v>1500.96</v>
      </c>
    </row>
    <row r="6">
      <c r="A6" t="inlineStr">
        <is>
          <t>Hardware</t>
        </is>
      </c>
      <c r="B6" t="inlineStr">
        <is>
          <t>Externe SSD</t>
        </is>
      </c>
      <c r="C6" t="n">
        <v>16</v>
      </c>
      <c r="D6" t="n">
        <v>137.11</v>
      </c>
      <c r="E6" t="n">
        <v>2193.76</v>
      </c>
    </row>
    <row r="7">
      <c r="A7" t="inlineStr">
        <is>
          <t>Hardware</t>
        </is>
      </c>
      <c r="B7" t="inlineStr">
        <is>
          <t>Patchkabel</t>
        </is>
      </c>
      <c r="C7" t="n">
        <v>16</v>
      </c>
      <c r="D7" t="n">
        <v>7.94</v>
      </c>
      <c r="E7" t="n">
        <v>127.04</v>
      </c>
    </row>
    <row r="8">
      <c r="A8" t="inlineStr">
        <is>
          <t>Hardware</t>
        </is>
      </c>
      <c r="B8" t="inlineStr">
        <is>
          <t>MFP-Drucker</t>
        </is>
      </c>
      <c r="C8" t="n">
        <v>1</v>
      </c>
      <c r="D8" t="n">
        <v>3175.26</v>
      </c>
      <c r="E8" t="n">
        <v>3175.26</v>
      </c>
    </row>
    <row r="9">
      <c r="A9" t="inlineStr">
        <is>
          <t>Hardware</t>
        </is>
      </c>
      <c r="B9" t="inlineStr">
        <is>
          <t>Windows 11 Pro OEM</t>
        </is>
      </c>
      <c r="C9" t="n">
        <v>16</v>
      </c>
      <c r="D9" t="n">
        <v>194.85</v>
      </c>
      <c r="E9" t="n">
        <v>3117.6</v>
      </c>
    </row>
    <row r="10">
      <c r="A10" t="inlineStr">
        <is>
          <t>Software</t>
        </is>
      </c>
      <c r="B10" t="inlineStr">
        <is>
          <t>MS 365 Business Standard (1 Jahr)</t>
        </is>
      </c>
      <c r="C10" t="n">
        <v>16</v>
      </c>
      <c r="D10" t="n">
        <v>125.4</v>
      </c>
      <c r="E10" t="n">
        <v>2006.4</v>
      </c>
    </row>
    <row r="11">
      <c r="A11" t="inlineStr">
        <is>
          <t>Software</t>
        </is>
      </c>
      <c r="B11" t="inlineStr">
        <is>
          <t>Adobe Acrobat Pro Teams (1 Jahr)</t>
        </is>
      </c>
      <c r="C11" t="n">
        <v>16</v>
      </c>
      <c r="D11" t="n">
        <v>287.88</v>
      </c>
      <c r="E11" t="n">
        <v>4606.08</v>
      </c>
    </row>
    <row r="12">
      <c r="A12" t="inlineStr">
        <is>
          <t>Software</t>
        </is>
      </c>
      <c r="B12" t="inlineStr">
        <is>
          <t>ESET PROTECT Entry (1 Jahr)</t>
        </is>
      </c>
      <c r="C12" t="n">
        <v>16</v>
      </c>
      <c r="D12" t="n">
        <v>36</v>
      </c>
      <c r="E12" t="n">
        <v>576</v>
      </c>
    </row>
    <row r="13">
      <c r="A13" t="inlineStr">
        <is>
          <t>Dienstleistung</t>
        </is>
      </c>
      <c r="B13" t="inlineStr">
        <is>
          <t>Beratung &amp; Projektplanung</t>
        </is>
      </c>
      <c r="C13" t="n">
        <v>1</v>
      </c>
      <c r="D13" t="n">
        <v>1500</v>
      </c>
      <c r="E13" t="n">
        <v>1500</v>
      </c>
    </row>
    <row r="14">
      <c r="A14" t="inlineStr">
        <is>
          <t>Dienstleistung</t>
        </is>
      </c>
      <c r="B14" t="inlineStr">
        <is>
          <t>Vorinstallation &amp; Konfiguration</t>
        </is>
      </c>
      <c r="C14" t="n">
        <v>16</v>
      </c>
      <c r="D14" t="n">
        <v>150</v>
      </c>
      <c r="E14" t="n">
        <v>2400</v>
      </c>
    </row>
    <row r="15">
      <c r="A15" t="inlineStr">
        <is>
          <t>Dienstleistung</t>
        </is>
      </c>
      <c r="B15" t="inlineStr">
        <is>
          <t>Lieferung &amp; Montage vor Ort</t>
        </is>
      </c>
      <c r="C15" t="n">
        <v>1</v>
      </c>
      <c r="D15" t="n">
        <v>1200</v>
      </c>
      <c r="E15" t="n">
        <v>1200</v>
      </c>
    </row>
    <row r="16">
      <c r="A16" t="inlineStr">
        <is>
          <t>Dienstleistung</t>
        </is>
      </c>
      <c r="B16" t="inlineStr">
        <is>
          <t>Funktionstest &amp; Abnahme</t>
        </is>
      </c>
      <c r="C16" t="n">
        <v>1</v>
      </c>
      <c r="D16" t="n">
        <v>800</v>
      </c>
      <c r="E16" t="n">
        <v>800</v>
      </c>
    </row>
    <row r="17">
      <c r="A17" t="inlineStr">
        <is>
          <t>Dienstleistung</t>
        </is>
      </c>
      <c r="B17" t="inlineStr">
        <is>
          <t>Entsorgung Altdrucker</t>
        </is>
      </c>
      <c r="C17" t="n">
        <v>1</v>
      </c>
      <c r="D17" t="n">
        <v>150</v>
      </c>
      <c r="E17" t="n">
        <v>150</v>
      </c>
    </row>
    <row r="18">
      <c r="A18" t="inlineStr"/>
      <c r="B18" t="inlineStr"/>
      <c r="C18" t="inlineStr"/>
      <c r="D18" t="inlineStr">
        <is>
          <t>Gesamtsumme Netto</t>
        </is>
      </c>
      <c r="E18" t="n">
        <v>68095.34000000001</v>
      </c>
    </row>
    <row r="19">
      <c r="A19" t="inlineStr"/>
      <c r="B19" t="inlineStr"/>
      <c r="C19" t="inlineStr"/>
      <c r="D19" t="inlineStr">
        <is>
          <t>Umsatzsteuer (19%)</t>
        </is>
      </c>
      <c r="E19" t="n">
        <v>12938.1146</v>
      </c>
    </row>
    <row r="20">
      <c r="A20" t="inlineStr"/>
      <c r="B20" t="inlineStr"/>
      <c r="C20" t="inlineStr"/>
      <c r="D20" t="inlineStr">
        <is>
          <t>Gesamtsumme Brutto</t>
        </is>
      </c>
      <c r="E20" t="n">
        <v>81033.45460000001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2026-09-07T06:45:18Z</dcterms:created>
  <dcterms:modified xmlns:dcterms="http://purl.org/dc/terms/" xmlns:xsi="http://www.w3.org/2001/XMLSchema-instance" xsi:type="dcterms:W3CDTF">2026-09-07T06:45:18Z</dcterms:modified>
</cp:coreProperties>
</file>